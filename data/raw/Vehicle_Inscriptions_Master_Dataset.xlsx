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odebook" sheetId="2" state="visible" r:id="rId4"/>
    <sheet name="Master_Dataset" sheetId="3" state="visible" r:id="rId5"/>
    <sheet name="Code_Matrix" sheetId="4" state="visible" r:id="rId6"/>
    <sheet name="Frequencies" sheetId="5" state="visible" r:id="rId7"/>
    <sheet name="Co_occurrence" sheetId="6" state="visible" r:id="rId8"/>
    <sheet name="Clusters" sheetId="7" state="visible" r:id="rId9"/>
    <sheet name="Human_Review" sheetId="8" state="visible" r:id="rId10"/>
    <sheet name="QC_Log" sheetId="9" state="visible" r:id="rId11"/>
    <sheet name="Dashboard_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<sst xmlns="http://schemas.openxmlformats.org/spreadsheetml/2006/main" count="2549" uniqueCount="1162">
  <si>
    <t xml:space="preserve">NEPALI VEHICLE INSCRIPTIONS — CULTURAL &amp; EMOTIONAL DASHBOARD</t>
  </si>
  <si>
    <t xml:space="preserve">61 inscriptions · 23 theme codes · multi-label coding · every figure is a live formula linked to Master_Dataset</t>
  </si>
  <si>
    <t xml:space="preserve">Inscriptions coded</t>
  </si>
  <si>
    <t xml:space="preserve">Theme categories</t>
  </si>
  <si>
    <t xml:space="preserve">Top theme</t>
  </si>
  <si>
    <t xml:space="preserve">Mixed valence</t>
  </si>
  <si>
    <t xml:space="preserve">High confidence</t>
  </si>
  <si>
    <t xml:space="preserve">Needs human review</t>
  </si>
  <si>
    <t xml:space="preserve">rows in corpus</t>
  </si>
  <si>
    <t xml:space="preserve">16 deductive · 7 emergent</t>
  </si>
  <si>
    <t xml:space="preserve">largest valence group</t>
  </si>
  <si>
    <t xml:space="preserve">explicit meaning</t>
  </si>
  <si>
    <t xml:space="preserve">flagged rows</t>
  </si>
  <si>
    <t xml:space="preserve">THEME FREQUENCY  (bar colour = domain)</t>
  </si>
  <si>
    <t xml:space="preserve">FEELING &amp; RELIABILITY</t>
  </si>
  <si>
    <t xml:space="preserve">DOMAINS: HOW MANY INSCRIPTIONS TOUCH EACH, AND WITH WHAT FEELING</t>
  </si>
  <si>
    <t xml:space="preserve">EMERGENT CLUSTERS (number of member inscriptions)</t>
  </si>
  <si>
    <t xml:space="preserve">THEMES THAT TRAVEL TOGETHER</t>
  </si>
  <si>
    <t xml:space="preserve">Theme A</t>
  </si>
  <si>
    <t xml:space="preserve">Theme B</t>
  </si>
  <si>
    <t xml:space="preserve">Both</t>
  </si>
  <si>
    <t xml:space="preserve">Love &amp; Romance</t>
  </si>
  <si>
    <t xml:space="preserve">Heartbreak &amp; Separation</t>
  </si>
  <si>
    <t xml:space="preserve">Humour &amp; Satire</t>
  </si>
  <si>
    <t xml:space="preserve">Family &amp; Parents</t>
  </si>
  <si>
    <t xml:space="preserve">Money &amp; Wealth</t>
  </si>
  <si>
    <t xml:space="preserve">Driver's Voice</t>
  </si>
  <si>
    <t xml:space="preserve">Dignity of Labour</t>
  </si>
  <si>
    <t xml:space="preserve">Self-Respect &amp; Swagger</t>
  </si>
  <si>
    <t xml:space="preserve">Moral Advice</t>
  </si>
  <si>
    <t xml:space="preserve">Class &amp; Inequality</t>
  </si>
  <si>
    <t xml:space="preserve">Place &amp; Region</t>
  </si>
  <si>
    <t xml:space="preserve">Hope &amp; Resilience</t>
  </si>
  <si>
    <t xml:space="preserve">WORD BOARD — THE VOCABULARY OF EACH CATEGORY</t>
  </si>
  <si>
    <t xml:space="preserve">Key words taken from the inscriptions themselves, grouped by theme. Card colour = domain; the count is live.</t>
  </si>
  <si>
    <t xml:space="preserve">Love &amp; Relationships</t>
  </si>
  <si>
    <t xml:space="preserve">Money &amp; Class</t>
  </si>
  <si>
    <t xml:space="preserve">Driver &amp; Work</t>
  </si>
  <si>
    <t xml:space="preserve">Gender</t>
  </si>
  <si>
    <t xml:space="preserve">Self &amp; Morality</t>
  </si>
  <si>
    <t xml:space="preserve">Faith &amp; Mortality</t>
  </si>
  <si>
    <t xml:space="preserve">Politics &amp; Place</t>
  </si>
  <si>
    <t xml:space="preserve">Style &amp; Register</t>
  </si>
  <si>
    <t xml:space="preserve">माया · प्यारी · याद · लभ यू · GF · कान्छी</t>
  </si>
  <si>
    <t xml:space="preserve">छाडी जाने · एक्लो · पर्खिरहेँ · नफर्किने खोला · अनजान</t>
  </si>
  <si>
    <t xml:space="preserve">आमा · बुबा · छोरा · परिवार · आफन्त · माइती</t>
  </si>
  <si>
    <t xml:space="preserve">पैसा · धन · सम्पत्ति · कमाउनु · गोजी</t>
  </si>
  <si>
    <t xml:space="preserve">Status Goods</t>
  </si>
  <si>
    <t xml:space="preserve">Gulf Migration</t>
  </si>
  <si>
    <t xml:space="preserve">Education</t>
  </si>
  <si>
    <t xml:space="preserve">धनी/गरिब · हुने/नहुने · औकात · रमिता</t>
  </si>
  <si>
    <t xml:space="preserve">कार · हार · रेस्टुरेन्ट · पानीपुरी</t>
  </si>
  <si>
    <t xml:space="preserve">खाडी · कतार · साउदी · परदेशी</t>
  </si>
  <si>
    <t xml:space="preserve">पढाइ · पढ्ने / नपढ्ने</t>
  </si>
  <si>
    <t xml:space="preserve">The Fare</t>
  </si>
  <si>
    <t xml:space="preserve">Masculinity</t>
  </si>
  <si>
    <t xml:space="preserve">ड्राइभर · गाडी · मोटर · रफ्तार</t>
  </si>
  <si>
    <t xml:space="preserve">हेला नगर्नु · भिकारी नभन्नु · नहेप · निद्रा</t>
  </si>
  <si>
    <t xml:space="preserve">भाडा · चढ · झर</t>
  </si>
  <si>
    <t xml:space="preserve">मर्द · नामर्द · पुरुष · कमाउनुपर्छ</t>
  </si>
  <si>
    <t xml:space="preserve">Women Represented</t>
  </si>
  <si>
    <t xml:space="preserve">Distrust &amp; Hypocrisy</t>
  </si>
  <si>
    <t xml:space="preserve">स्त्री · छोरी पोइल · कम्मर · बच्चाकी आमा</t>
  </si>
  <si>
    <t xml:space="preserve">शिर झुकाउनु · बबाल · राजा · कच्चा नसम्झ</t>
  </si>
  <si>
    <t xml:space="preserve">स्वार्थी · झुट · असली रूप · जलन</t>
  </si>
  <si>
    <t xml:space="preserve">सत्य · असल · सफा मन · आशीर्वाद</t>
  </si>
  <si>
    <t xml:space="preserve">Faith &amp; Mythology</t>
  </si>
  <si>
    <t xml:space="preserve">Death &amp; Risk</t>
  </si>
  <si>
    <t xml:space="preserve">Politics &amp; Institutions</t>
  </si>
  <si>
    <t xml:space="preserve">आशा · धैर्य · हिम्मत · बिहानी</t>
  </si>
  <si>
    <t xml:space="preserve">भगवान् · प्रभु येशू · शिवजी · पार्वती</t>
  </si>
  <si>
    <t xml:space="preserve">बाढी · दुर्घटना · कात्रो · मसानघाट</t>
  </si>
  <si>
    <t xml:space="preserve">अदालत · नेताजी · संविधान · घण्टी छाप</t>
  </si>
  <si>
    <t xml:space="preserve">Slang &amp; Code-mixing</t>
  </si>
  <si>
    <t xml:space="preserve">मुगाली · चौरजहारी · सुर्खेत · सल्यान</t>
  </si>
  <si>
    <t xml:space="preserve">ठट्टा · मजाक · अङ्कल · दाइ</t>
  </si>
  <si>
    <t xml:space="preserve">हाइ/बाइ · लभ यू · GF · बाल नदिने</t>
  </si>
  <si>
    <t xml:space="preserve">Note: counts include the #9/#47 duplicate; single-coder first pass — see Human_Review before citing.</t>
  </si>
  <si>
    <t xml:space="preserve">Nepali Vehicle Inscriptions — Multidimensional Coding (61 entries)</t>
  </si>
  <si>
    <t xml:space="preserve">Source: user-supplied file '52_Vehicle_proverbs_and_sayings' (61 rows despite the filename). Columns B–F of Master_Dataset are copied verbatim from that file (escape backslashes removed only).</t>
  </si>
  <si>
    <t xml:space="preserve">Original_Translation is never overwritten. Corrections appear in Normalized_Translation and are flagged in Human_Review.</t>
  </si>
  <si>
    <t xml:space="preserve">Multi-label fields use '|' as separator. 'Not evident' = no textual basis; it is not a negative finding.</t>
  </si>
  <si>
    <t xml:space="preserve">Code_Matrix, Frequencies and Co_occurrence are formula-driven from the Codes column: edit Codes and they recalculate.</t>
  </si>
  <si>
    <t xml:space="preserve">Confidence: High = explicit; Medium = needs contextual inference; Low = several readings plausible.</t>
  </si>
  <si>
    <t xml:space="preserve">Power_Hierarchy uses: Reproduction / Reflection / Critique / Resistance / Ambiguous (master prompt §10).</t>
  </si>
  <si>
    <t xml:space="preserve">Coding is a first pass by Claude, not a validated annotation. All entries flagged Y need native-speaker review before publication.</t>
  </si>
  <si>
    <t xml:space="preserve">Code</t>
  </si>
  <si>
    <t xml:space="preserve">Origin</t>
  </si>
  <si>
    <t xml:space="preserve">Definition</t>
  </si>
  <si>
    <t xml:space="preserve">Count</t>
  </si>
  <si>
    <t xml:space="preserve">LOVE_ROMANCE</t>
  </si>
  <si>
    <t xml:space="preserve">Deductive</t>
  </si>
  <si>
    <t xml:space="preserve">Romantic love, courtship, flirtation</t>
  </si>
  <si>
    <t xml:space="preserve">SEPARATION_LOSS</t>
  </si>
  <si>
    <t xml:space="preserve">Heartbreak, abandonment, waiting, lost love</t>
  </si>
  <si>
    <t xml:space="preserve">FAMILY</t>
  </si>
  <si>
    <t xml:space="preserve">Parents, children, kin, household obligation</t>
  </si>
  <si>
    <t xml:space="preserve">MONEY_MATERIALISM</t>
  </si>
  <si>
    <t xml:space="preserve">Money, wealth, earning as theme</t>
  </si>
  <si>
    <t xml:space="preserve">CLASS_INEQUALITY_CRITIQUE</t>
  </si>
  <si>
    <t xml:space="preserve">Rich/poor contrast, critique of status hierarchy</t>
  </si>
  <si>
    <t xml:space="preserve">CONSUMER_STATUS</t>
  </si>
  <si>
    <t xml:space="preserve">Emergent</t>
  </si>
  <si>
    <t xml:space="preserve">Status goods and consumption sites (car, necklace, restaurants) mediating relationships</t>
  </si>
  <si>
    <t xml:space="preserve">MIGRATION</t>
  </si>
  <si>
    <t xml:space="preserve">Gulf/foreign labour migration</t>
  </si>
  <si>
    <t xml:space="preserve">EDUCATION</t>
  </si>
  <si>
    <t xml:space="preserve">Schooling and its failure</t>
  </si>
  <si>
    <t xml:space="preserve">DRIVER_IDENTITY</t>
  </si>
  <si>
    <t xml:space="preserve">Driver/vehicle self-reference; the inscription speaks as or about the driver</t>
  </si>
  <si>
    <t xml:space="preserve">LABOR_DIGNITY</t>
  </si>
  <si>
    <t xml:space="preserve">Defence of the occupation against stigma; work conditions; exhaustion</t>
  </si>
  <si>
    <t xml:space="preserve">FARE_LIVELIHOOD</t>
  </si>
  <si>
    <t xml:space="preserve">The fare as moral and economic flashpoint</t>
  </si>
  <si>
    <t xml:space="preserve">MASCULINITY</t>
  </si>
  <si>
    <t xml:space="preserve">Male roles, provider burden, manhood norms</t>
  </si>
  <si>
    <t xml:space="preserve">WOMEN_REPRESENTATION</t>
  </si>
  <si>
    <t xml:space="preserve">How women are described, addressed or blamed</t>
  </si>
  <si>
    <t xml:space="preserve">SELF_RESPECT</t>
  </si>
  <si>
    <t xml:space="preserve">Dignity, refusal to bow, self-assertion, swagger</t>
  </si>
  <si>
    <t xml:space="preserve">DISTRUST_HYPOCRISY</t>
  </si>
  <si>
    <t xml:space="preserve">World as selfish; kin/people as fair-weather; words vs. deeds</t>
  </si>
  <si>
    <t xml:space="preserve">MORAL_ADVICE</t>
  </si>
  <si>
    <t xml:space="preserve">Didactic or ethical instruction</t>
  </si>
  <si>
    <t xml:space="preserve">HOPE_RESILIENCE</t>
  </si>
  <si>
    <t xml:space="preserve">Patience, endurance, optimism</t>
  </si>
  <si>
    <t xml:space="preserve">RELIGION_FATE</t>
  </si>
  <si>
    <t xml:space="preserve">Deity, scripture, mythology, prayer</t>
  </si>
  <si>
    <t xml:space="preserve">MORTALITY_RISK</t>
  </si>
  <si>
    <t xml:space="preserve">Death, disaster, road risk, impermanence</t>
  </si>
  <si>
    <t xml:space="preserve">INSTITUTION_CRITIQUE</t>
  </si>
  <si>
    <t xml:space="preserve">Courts, politicians, parties, the state</t>
  </si>
  <si>
    <t xml:space="preserve">PLACE_IDENTITY</t>
  </si>
  <si>
    <t xml:space="preserve">Named places, regional demonyms, rural–urban</t>
  </si>
  <si>
    <t xml:space="preserve">HUMOR</t>
  </si>
  <si>
    <t xml:space="preserve">Jokes, irony, satire, teasing</t>
  </si>
  <si>
    <t xml:space="preserve">CODE_MIXING_SLANG</t>
  </si>
  <si>
    <t xml:space="preserve">English/Hindi mixing, youth slang, wordplay on slang</t>
  </si>
  <si>
    <t xml:space="preserve">ID</t>
  </si>
  <si>
    <t xml:space="preserve">Original_Nepali</t>
  </si>
  <si>
    <t xml:space="preserve">Transliteration</t>
  </si>
  <si>
    <t xml:space="preserve">Original_Translation</t>
  </si>
  <si>
    <t xml:space="preserve">Original_Theme</t>
  </si>
  <si>
    <t xml:space="preserve">Normalized_Translation</t>
  </si>
  <si>
    <t xml:space="preserve">Text_Type</t>
  </si>
  <si>
    <t xml:space="preserve">Primary_Domain</t>
  </si>
  <si>
    <t xml:space="preserve">Secondary_Domains</t>
  </si>
  <si>
    <t xml:space="preserve">Emotion</t>
  </si>
  <si>
    <t xml:space="preserve">Emotion_Intensity</t>
  </si>
  <si>
    <t xml:space="preserve">Emotional_Target</t>
  </si>
  <si>
    <t xml:space="preserve">Relationship_Type</t>
  </si>
  <si>
    <t xml:space="preserve">Love_Type</t>
  </si>
  <si>
    <t xml:space="preserve">Cultural_Concepts</t>
  </si>
  <si>
    <t xml:space="preserve">Economic_Theme</t>
  </si>
  <si>
    <t xml:space="preserve">Political_Theme</t>
  </si>
  <si>
    <t xml:space="preserve">Religious_Theme</t>
  </si>
  <si>
    <t xml:space="preserve">Gender_Theme</t>
  </si>
  <si>
    <t xml:space="preserve">Power_Hierarchy</t>
  </si>
  <si>
    <t xml:space="preserve">Identity_Theme</t>
  </si>
  <si>
    <t xml:space="preserve">Aspiration</t>
  </si>
  <si>
    <t xml:space="preserve">Agency</t>
  </si>
  <si>
    <t xml:space="preserve">Humor_Irony</t>
  </si>
  <si>
    <t xml:space="preserve">Rhetorical_Device</t>
  </si>
  <si>
    <t xml:space="preserve">Valence</t>
  </si>
  <si>
    <t xml:space="preserve">Temporal_Orientation</t>
  </si>
  <si>
    <t xml:space="preserve">Deeper_Meaning</t>
  </si>
  <si>
    <t xml:space="preserve">Evidence</t>
  </si>
  <si>
    <t xml:space="preserve">Confidence</t>
  </si>
  <si>
    <t xml:space="preserve">Alternative_Interpretation</t>
  </si>
  <si>
    <t xml:space="preserve">Human_Review</t>
  </si>
  <si>
    <t xml:space="preserve">Review_Reason</t>
  </si>
  <si>
    <t xml:space="preserve">Codes</t>
  </si>
  <si>
    <t xml:space="preserve">भाडा लिऊँ भने इष्ट बाङ्गो; भाडा नलिऊँ भने आफू नाङ्गो।</t>
  </si>
  <si>
    <t xml:space="preserve">Bhāḍā liū̃ bhane iṣṭa bāṅgo; bhāḍā naliū̃ bhane āphū nāṅgo.</t>
  </si>
  <si>
    <t xml:space="preserve">If I ask for the fare, people become unhappy; if I do not ask for it, I suffer the loss myself.</t>
  </si>
  <si>
    <t xml:space="preserve">Livelihood, economic survival, dignity of labour, social pressure</t>
  </si>
  <si>
    <t xml:space="preserve">If I ask for the fare, my relatives and close ones turn sour; if I don't, I'm the one left with nothing.</t>
  </si>
  <si>
    <t xml:space="preserve">Folk saying|Couplet</t>
  </si>
  <si>
    <t xml:space="preserve">Economic / Livelihood</t>
  </si>
  <si>
    <t xml:space="preserve">Interpersonal (kin)|Occupational</t>
  </si>
  <si>
    <t xml:space="preserve">Frustration|Ambivalence</t>
  </si>
  <si>
    <t xml:space="preserve">Moderate</t>
  </si>
  <si>
    <t xml:space="preserve">Self|Kin and close acquaintances</t>
  </si>
  <si>
    <t xml:space="preserve">Worker–kin passenger</t>
  </si>
  <si>
    <t xml:space="preserve">N/A</t>
  </si>
  <si>
    <t xml:space="preserve">इष्ट (kin network)|kin obligation</t>
  </si>
  <si>
    <t xml:space="preserve">Explicit: fare as income vs. obligation</t>
  </si>
  <si>
    <t xml:space="preserve">Not evident</t>
  </si>
  <si>
    <t xml:space="preserve">Reflection</t>
  </si>
  <si>
    <t xml:space="preserve">Occupational (driver/conductor)</t>
  </si>
  <si>
    <t xml:space="preserve">Individual — constrained</t>
  </si>
  <si>
    <t xml:space="preserve">Wry</t>
  </si>
  <si>
    <t xml:space="preserve">Parallelism|Rhyme (बाङ्गो/नाङ्गो)|Double bind</t>
  </si>
  <si>
    <t xml:space="preserve">Negative</t>
  </si>
  <si>
    <t xml:space="preserve">Present</t>
  </si>
  <si>
    <t xml:space="preserve">A double bind between kin obligation and livelihood; asking kin for money damages relationships, not asking erodes income.</t>
  </si>
  <si>
    <t xml:space="preserve">इष्ट बाङ्गो / आफू नाङ्गो</t>
  </si>
  <si>
    <t xml:space="preserve">High</t>
  </si>
  <si>
    <t xml:space="preserve">—</t>
  </si>
  <si>
    <t xml:space="preserve">Y</t>
  </si>
  <si>
    <t xml:space="preserve">Translation renders इष्ट as 'people'; it means relatives/close ones, which is the core of the dilemma.</t>
  </si>
  <si>
    <t xml:space="preserve">FARE_LIVELIHOOD|LABOR_DIGNITY|MONEY_MATERIALISM</t>
  </si>
  <si>
    <t xml:space="preserve">तिमी स्त्री हौ, तिमीलाई हरकोहीकी प्यारी हुने हक छ। म त पुरुष हुँ, आफ्नै घरको प्यारो हुन पनि धन कमाउनुपर्छ।</t>
  </si>
  <si>
    <t xml:space="preserve">Timī strī hau, timīlāī harkohīkī pyārī hune hak cha. Ma ta puruṣ hũ, āphnai gharko pyāro huna pani dhan kamāunupardcha.</t>
  </si>
  <si>
    <t xml:space="preserve">You are a woman, and you have the right to be loved by anyone. But I am a man, and even to be loved in my own home, I have to earn money.</t>
  </si>
  <si>
    <t xml:space="preserve">Gender roles, masculinity, family expectations, money, patriarchy</t>
  </si>
  <si>
    <t xml:space="preserve">Personal expression|Social commentary</t>
  </si>
  <si>
    <t xml:space="preserve">Economic|Family</t>
  </si>
  <si>
    <t xml:space="preserve">Resentment|Self-pity</t>
  </si>
  <si>
    <t xml:space="preserve">Women (addressee)|Self|Family</t>
  </si>
  <si>
    <t xml:space="preserve">Man–woman (generic)|Family</t>
  </si>
  <si>
    <t xml:space="preserve">Storge (conditional)</t>
  </si>
  <si>
    <t xml:space="preserve">Male breadwinner norm</t>
  </si>
  <si>
    <t xml:space="preserve">Explicit: being loved at home is conditional on earning</t>
  </si>
  <si>
    <t xml:space="preserve">Masculinity as provider burden; contrasts with a generalization that women are loved unconditionally</t>
  </si>
  <si>
    <t xml:space="preserve">Critique + Reproduction (critiques provider burden while reproducing a gender stereotype)</t>
  </si>
  <si>
    <t xml:space="preserve">Masculine</t>
  </si>
  <si>
    <t xml:space="preserve">None</t>
  </si>
  <si>
    <t xml:space="preserve">Antithesis (स्त्री / पुरुष)</t>
  </si>
  <si>
    <t xml:space="preserve">Timeless</t>
  </si>
  <si>
    <t xml:space="preserve">Frames male worth inside the family as earned through income.</t>
  </si>
  <si>
    <t xml:space="preserve">आफ्नै घरको प्यारो हुन पनि धन कमाउनुपर्छ</t>
  </si>
  <si>
    <t xml:space="preserve">Original theme label 'patriarchy' is an interpretation; text explicitly describes the male breadwinner burden. Check label wording.</t>
  </si>
  <si>
    <t xml:space="preserve">MASCULINITY|WOMEN_REPRESENTATION|MONEY_MATERIALISM|FAMILY</t>
  </si>
  <si>
    <t xml:space="preserve">धनसम्पत्ति रहेछ यहाँ मायाभन्दा माथि; रित्तो गोजीको काम छैन, के गर्छौ त साथी?</t>
  </si>
  <si>
    <t xml:space="preserve">Dhan-sampatti rahecha yahā̃ māyābhanda māthi; ritto gojīko kām chaina, ke garchhau ta sāthī?</t>
  </si>
  <si>
    <t xml:space="preserve">It seems that wealth is valued above love here; an empty pocket is of no use, so what can you do, my friend?</t>
  </si>
  <si>
    <t xml:space="preserve">Materialism, poverty, economic status, changing values</t>
  </si>
  <si>
    <t xml:space="preserve">Couplet|Social commentary</t>
  </si>
  <si>
    <t xml:space="preserve">Economic / Values</t>
  </si>
  <si>
    <t xml:space="preserve">Interpersonal</t>
  </si>
  <si>
    <t xml:space="preserve">Disillusionment|Resignation</t>
  </si>
  <si>
    <t xml:space="preserve">Society|Friend (addressee)</t>
  </si>
  <si>
    <t xml:space="preserve">Friendship (address form)</t>
  </si>
  <si>
    <t xml:space="preserve">Ambiguous</t>
  </si>
  <si>
    <t xml:space="preserve">माया</t>
  </si>
  <si>
    <t xml:space="preserve">Explicit: wealth ranked above love; empty pocket</t>
  </si>
  <si>
    <t xml:space="preserve">Critique</t>
  </si>
  <si>
    <t xml:space="preserve">Rhetorical question|Rhyme (माथि/साथी)</t>
  </si>
  <si>
    <t xml:space="preserve">Observes a value order in which money outranks affection.</t>
  </si>
  <si>
    <t xml:space="preserve">धनसम्पत्ति रहेछ यहाँ मायाभन्दा माथि</t>
  </si>
  <si>
    <t xml:space="preserve">N</t>
  </si>
  <si>
    <t xml:space="preserve">MONEY_MATERIALISM|CLASS_INEQUALITY_CRITIQUE|DISTRUST_HYPOCRISY</t>
  </si>
  <si>
    <t xml:space="preserve">एक्कासी बाढी आयो, घर-आँगन बगायो। हेर्दाहेर्दै त्यो भेलले जिन्दगीभरको धन बगायो। घर त फेरि बन्ला, धन फेरि कमाइएला; कठैबरा, छिनभरमै कैयौँको जीवन बगायो।</t>
  </si>
  <si>
    <t xml:space="preserve">Ekkāsī bāḍhī āyo, ghar-ā̃gan bagāyo. Herdā-herdai tyo bhelle jindagībharko dhan bagāyo. Ghar ta pheri banlā, dhan pheri kamāielā; kaṭhaibarā, chhinbharmā kaiyaũko jīvan bagāyo.</t>
  </si>
  <si>
    <t xml:space="preserve">A sudden flood came and swept away homes and courtyards. Before our eyes, the torrent carried away wealth accumulated over a lifetime. A house can be rebuilt and wealth can be earned again, but, sadly, many lives were swept away in an instant.</t>
  </si>
  <si>
    <t xml:space="preserve">Natural disaster, loss, vulnerability, impermanence, human life</t>
  </si>
  <si>
    <t xml:space="preserve">Elegy|Poetic expression</t>
  </si>
  <si>
    <t xml:space="preserve">Existential / Disaster</t>
  </si>
  <si>
    <t xml:space="preserve">Economic</t>
  </si>
  <si>
    <t xml:space="preserve">Grief|Sorrow|Compassion</t>
  </si>
  <si>
    <t xml:space="preserve">Disaster victims</t>
  </si>
  <si>
    <t xml:space="preserve">Human–nature</t>
  </si>
  <si>
    <t xml:space="preserve">कठैबरा (pity interjection)</t>
  </si>
  <si>
    <t xml:space="preserve">Explicit: lifetime wealth lost</t>
  </si>
  <si>
    <t xml:space="preserve">Nature</t>
  </si>
  <si>
    <t xml:space="preserve">Epistrophe (repeated बगायो)|Contrast (property vs. life)</t>
  </si>
  <si>
    <t xml:space="preserve">Past</t>
  </si>
  <si>
    <t xml:space="preserve">Ranks human life above recoverable property; event-specific rather than a general saying.</t>
  </si>
  <si>
    <t xml:space="preserve">घर त फेरि बन्ला... कैयौँको जीवन बगायो</t>
  </si>
  <si>
    <t xml:space="preserve">Likely refers to a specific flood; date/location of the inscription unknown.</t>
  </si>
  <si>
    <t xml:space="preserve">नेपालीमा ‘माया’ अरे, हिन्दीमा ‘प्यार’; दुई बच्चाकी आमाले पनि ‘अङ्कल’ भन्छे यार।</t>
  </si>
  <si>
    <t xml:space="preserve">Nepālīmā “māyā” are, Hindīmā “pyār”; duī bacchākī āmāle pani “aṅkal” bhanche yār.</t>
  </si>
  <si>
    <t xml:space="preserve">In Nepali it is “maya,” and in Hindi it is “pyaar”; even a mother of two children calls someone “uncle,” my friend.</t>
  </si>
  <si>
    <t xml:space="preserve">Language, humour, changing relationships, popular culture, multilingualism</t>
  </si>
  <si>
    <t xml:space="preserve">In Nepali it's 'maya', in Hindi 'pyaar' — and even a mother of two calls me 'uncle', man!</t>
  </si>
  <si>
    <t xml:space="preserve">Humor|Wordplay|Couplet</t>
  </si>
  <si>
    <t xml:space="preserve">Humor</t>
  </si>
  <si>
    <t xml:space="preserve">Language|Ageing</t>
  </si>
  <si>
    <t xml:space="preserve">Amusement|Mild chagrin</t>
  </si>
  <si>
    <t xml:space="preserve">Low</t>
  </si>
  <si>
    <t xml:space="preserve">Self</t>
  </si>
  <si>
    <t xml:space="preserve">Driver–passenger</t>
  </si>
  <si>
    <t xml:space="preserve">Woman (mother of two) used as a measure of the speaker's age</t>
  </si>
  <si>
    <t xml:space="preserve">Ageing male</t>
  </si>
  <si>
    <t xml:space="preserve">Self-deprecating: even a mother of two calls him 'uncle'</t>
  </si>
  <si>
    <t xml:space="preserve">Rhyme (प्यार/यार)|Code-mixing (Hindi, English 'uncle')</t>
  </si>
  <si>
    <t xml:space="preserve">Mixed</t>
  </si>
  <si>
    <t xml:space="preserve">The joke is on the speaker: he is being read as old.</t>
  </si>
  <si>
    <t xml:space="preserve">दुई बच्चाकी आमाले पनि 'अङ्कल' भन्छे</t>
  </si>
  <si>
    <t xml:space="preserve">Medium</t>
  </si>
  <si>
    <t xml:space="preserve">Original translation ('calls someone uncle') misses that the speaker is the one called uncle.</t>
  </si>
  <si>
    <t xml:space="preserve">HUMOR|CODE_MIXING_SLANG</t>
  </si>
  <si>
    <t xml:space="preserve">लुटेराको बस्तीमा जिन्दगी बित्यो मस्तीमा।</t>
  </si>
  <si>
    <t xml:space="preserve">Luṭerāko bastīmā jindagī bityo mastīmā.</t>
  </si>
  <si>
    <t xml:space="preserve">Life was spent joyfully in a settlement of looters.</t>
  </si>
  <si>
    <t xml:space="preserve">Social criticism, survival, humour, inequality, resilience</t>
  </si>
  <si>
    <t xml:space="preserve">Aphorism|Satire</t>
  </si>
  <si>
    <t xml:space="preserve">Social</t>
  </si>
  <si>
    <t xml:space="preserve">Possible political</t>
  </si>
  <si>
    <t xml:space="preserve">Defiant cheer|Irony</t>
  </si>
  <si>
    <t xml:space="preserve">Society (unspecified 'looters')</t>
  </si>
  <si>
    <t xml:space="preserve">Possible critique of exploitative surroundings; not explicit</t>
  </si>
  <si>
    <t xml:space="preserve">Critique (ambiguous)</t>
  </si>
  <si>
    <t xml:space="preserve">Individual — resilient</t>
  </si>
  <si>
    <t xml:space="preserve">Irony / paradox</t>
  </si>
  <si>
    <t xml:space="preserve">Rhyme (बस्तीमा/मस्तीमा)|Paradox</t>
  </si>
  <si>
    <t xml:space="preserve">Joyful survival amid exploitation.</t>
  </si>
  <si>
    <t xml:space="preserve">लुटेराको बस्तीमा ... मस्तीमा</t>
  </si>
  <si>
    <t xml:space="preserve">'Looters' could be society, officials, the transport sector itself (self-mockery), or passengers.</t>
  </si>
  <si>
    <t xml:space="preserve">Referent of 'looters' ambiguous.</t>
  </si>
  <si>
    <t xml:space="preserve">HUMOR|DISTRUST_HYPOCRISY|HOPE_RESILIENCE</t>
  </si>
  <si>
    <t xml:space="preserve">उडायो तिम्रो पछ्यौरी, मेरो रफ्तारको के दोष?</t>
  </si>
  <si>
    <t xml:space="preserve">Uḍāyo timro pachhyauṛī, mero raftārko ke doṣ?</t>
  </si>
  <si>
    <t xml:space="preserve">My speed blew away your scarf; how is that my fault?</t>
  </si>
  <si>
    <t xml:space="preserve">Vehicle culture, speed, humour, flirtation, masculinity</t>
  </si>
  <si>
    <t xml:space="preserve">Humor|Flirtation</t>
  </si>
  <si>
    <t xml:space="preserve">Vehicle culture</t>
  </si>
  <si>
    <t xml:space="preserve">Romance|Gender</t>
  </si>
  <si>
    <t xml:space="preserve">Playful bravado</t>
  </si>
  <si>
    <t xml:space="preserve">Woman (addressee)</t>
  </si>
  <si>
    <t xml:space="preserve">Stranger flirtation</t>
  </si>
  <si>
    <t xml:space="preserve">Eros (playful)</t>
  </si>
  <si>
    <t xml:space="preserve">Male display through speed; deflection of responsibility</t>
  </si>
  <si>
    <t xml:space="preserve">Reproduction (mild)</t>
  </si>
  <si>
    <t xml:space="preserve">Driver</t>
  </si>
  <si>
    <t xml:space="preserve">Teasing deflection</t>
  </si>
  <si>
    <t xml:space="preserve">Rhetorical question</t>
  </si>
  <si>
    <t xml:space="preserve">Positive</t>
  </si>
  <si>
    <t xml:space="preserve">Speed as masculine display; the driver disclaims responsibility for its effects.</t>
  </si>
  <si>
    <t xml:space="preserve">मेरो रफ्तारको के दोष?</t>
  </si>
  <si>
    <t xml:space="preserve">HUMOR|MASCULINITY|LOVE_ROMANCE|DRIVER_IDENTITY</t>
  </si>
  <si>
    <t xml:space="preserve">प्रभु येशू, म असल गोठालो हुँ। असल गोठालोले आफ्ना भेडाहरूका निम्ति आफ्नो प्राण अर्पण गर्छ।</t>
  </si>
  <si>
    <t xml:space="preserve">Prabhu Yeshu, ma asal goṭhālo hũ. Asal goṭhāle āphnā bheḍāharūkā nimti āphno prāṇ arpaṇ garcha.</t>
  </si>
  <si>
    <t xml:space="preserve">“I am the good shepherd.” The good shepherd gives his life for his sheep.</t>
  </si>
  <si>
    <t xml:space="preserve">Christian faith, sacrifice, religious identity, care, moral responsibility</t>
  </si>
  <si>
    <t xml:space="preserve">Religious quotation</t>
  </si>
  <si>
    <t xml:space="preserve">Religious</t>
  </si>
  <si>
    <t xml:space="preserve">Moral</t>
  </si>
  <si>
    <t xml:space="preserve">Devotion|Reverence</t>
  </si>
  <si>
    <t xml:space="preserve">Christ</t>
  </si>
  <si>
    <t xml:space="preserve">Divine–devotee</t>
  </si>
  <si>
    <t xml:space="preserve">Agape (explicit self-sacrifice)</t>
  </si>
  <si>
    <t xml:space="preserve">Christian; paraphrase of John 10:11</t>
  </si>
  <si>
    <t xml:space="preserve">Religious (of the display, not necessarily the owner)</t>
  </si>
  <si>
    <t xml:space="preserve">Divine</t>
  </si>
  <si>
    <t xml:space="preserve">Metaphor (shepherd/sheep)</t>
  </si>
  <si>
    <t xml:space="preserve">Sacrificial care as an ideal.</t>
  </si>
  <si>
    <t xml:space="preserve">असल गोठालोले ... प्राण अर्पण गर्छ</t>
  </si>
  <si>
    <t xml:space="preserve">Nepali reads as the speaker addressing Jesus while saying 'I am the good shepherd' (in John 10:11 Jesus speaks). Verify the painted wording. Transliteration 'goṭhāle' ≠ गोठालोले.</t>
  </si>
  <si>
    <t xml:space="preserve">RELIGION_FATE|MORAL_ADVICE</t>
  </si>
  <si>
    <t xml:space="preserve">ढिला हुन्छ, तर सबै राम्रो हुन्छ; समय खराब हो, जिन्दगी होइन, साथी।</t>
  </si>
  <si>
    <t xml:space="preserve">Ḍhilā hunchha, tara sabai rāmrō hunchha; samaya kharāb ho, jindagī hoina, sāthī.</t>
  </si>
  <si>
    <t xml:space="preserve">It may take time, but everything will be fine; it is the time that is bad, not life itself, my friend.</t>
  </si>
  <si>
    <t xml:space="preserve">Hope, patience, hardship, optimism, resilience</t>
  </si>
  <si>
    <t xml:space="preserve">Aphorism|Encouragement</t>
  </si>
  <si>
    <t xml:space="preserve">Philosophical / Hope</t>
  </si>
  <si>
    <t xml:space="preserve">Hope|Patience</t>
  </si>
  <si>
    <t xml:space="preserve">Friend / reader</t>
  </si>
  <si>
    <t xml:space="preserve">Antithesis (time vs. life)</t>
  </si>
  <si>
    <t xml:space="preserve">Future</t>
  </si>
  <si>
    <t xml:space="preserve">Separates temporary circumstance from the worth of life.</t>
  </si>
  <si>
    <t xml:space="preserve">समय खराब हो, जिन्दगी होइन</t>
  </si>
  <si>
    <t xml:space="preserve">Duplicate of #47 (one-character variant होइन/हैन). Keep one, record the other as variant.</t>
  </si>
  <si>
    <t xml:space="preserve">किन पर्खी बस्थ्यौ र? खाडी जानेलाई धेरै–धेरै बधाई छ; छाडी जानेलाई तिम्रो बाँकी जिन्दगी सुखद अनि सफल बितोस्। यही शुभकामना टाढी जानेलाई माया।</t>
  </si>
  <si>
    <t xml:space="preserve">Kina parkhī basthyou ra? Khāḍī jānelāī dherai-dherai badhāī cha; chhāḍī jānelāī timro bā̃kī jindagī sukhad ani safal bitos. Yahī śubhakamana ṭāḍhī jānelāī māyā.</t>
  </si>
  <si>
    <t xml:space="preserve">Why would you keep waiting? Many congratulations to those going to the Gulf; to those leaving, may the rest of your life be happy and successful. These are my good wishes and love for those going far away.</t>
  </si>
  <si>
    <t xml:space="preserve">Foreign employment, migration, economic aspiration, separation, family</t>
  </si>
  <si>
    <t xml:space="preserve">Why would you have waited? Congratulations to the one going to the Gulf; to the one who left me, may the rest of your life be happy and successful — these good wishes, and love, to the one who went far away.</t>
  </si>
  <si>
    <t xml:space="preserve">Personal expression|Poetic expression</t>
  </si>
  <si>
    <t xml:space="preserve">Interpersonal / Romance</t>
  </si>
  <si>
    <t xml:space="preserve">Migration</t>
  </si>
  <si>
    <t xml:space="preserve">Wounded goodwill|Longing|Possible sarcasm</t>
  </si>
  <si>
    <t xml:space="preserve">Former lover</t>
  </si>
  <si>
    <t xml:space="preserve">Romantic (abandoned)</t>
  </si>
  <si>
    <t xml:space="preserve">Eros (lost)</t>
  </si>
  <si>
    <t xml:space="preserve">Gulf (खाडी) labour migration</t>
  </si>
  <si>
    <t xml:space="preserve">Explicit: Gulf migration</t>
  </si>
  <si>
    <t xml:space="preserve">Rhyme (खाडी/छाडी/टाढी)|Possible sarcasm</t>
  </si>
  <si>
    <t xml:space="preserve">Past/Future</t>
  </si>
  <si>
    <t xml:space="preserve">A farewell that braids migration with romantic abandonment.</t>
  </si>
  <si>
    <t xml:space="preserve">छाडी जानेलाई</t>
  </si>
  <si>
    <t xml:space="preserve">(a) sincere farewell to migrants; (b) sarcastic farewell to a lover who left with/for a Gulf migrant.</t>
  </si>
  <si>
    <t xml:space="preserve">'छाडी जाने' = the one who left (me), not 'those leaving'. First clause appears garbled.</t>
  </si>
  <si>
    <t xml:space="preserve">MIGRATION|LOVE_ROMANCE|SEPARATION_LOSS</t>
  </si>
  <si>
    <t xml:space="preserve">केलाउँछु धागोको माला, हार पाएपछि; के हिँड्थ्यो मसँग, कार पाएपछि?</t>
  </si>
  <si>
    <t xml:space="preserve">Kelāũchu dhāgoko mālā, hār pāepachi; ke hĩḍthyo ma-sãga, kār pāepachi?</t>
  </si>
  <si>
    <t xml:space="preserve">I will string a thread garland after receiving a necklace; why would someone walk with me after getting a car?</t>
  </si>
  <si>
    <t xml:space="preserve">Materialism, social status, wealth, changing relationships, consumer culture</t>
  </si>
  <si>
    <t xml:space="preserve">Who bothers sorting out a thread garland once they've got a (gold) necklace? Why would she walk with me once she's got a car?</t>
  </si>
  <si>
    <t xml:space="preserve">Economic / Status</t>
  </si>
  <si>
    <t xml:space="preserve">Bitterness|Disillusionment</t>
  </si>
  <si>
    <t xml:space="preserve">Former partner</t>
  </si>
  <si>
    <t xml:space="preserve">Romantic (lost to wealthier rival)</t>
  </si>
  <si>
    <t xml:space="preserve">Explicit: necklace vs. thread garland; car</t>
  </si>
  <si>
    <t xml:space="preserve">Rhyme and wordplay (हार/कार)|Rhetorical questions</t>
  </si>
  <si>
    <t xml:space="preserve">Love displaced by status goods.</t>
  </si>
  <si>
    <t xml:space="preserve">के हिँड्थ्यो मसँग, कार पाएपछि?</t>
  </si>
  <si>
    <t xml:space="preserve">Original translation ('I will string a thread garland') misreads a rhetorical question.</t>
  </si>
  <si>
    <t xml:space="preserve">LOVE_ROMANCE|SEPARATION_LOSS|CONSUMER_STATUS|MONEY_MATERIALISM</t>
  </si>
  <si>
    <t xml:space="preserve">कहाँ मन परोस् अब बाटोमा उभिएर चटपटे र पानीपुरी खान, ठूला–ठूला रेस्टुरेन्ट पार लाने अरू कोही भेटेपछि?</t>
  </si>
  <si>
    <t xml:space="preserve">Kahā̃ mana paros aba bāṭomā ubhiera caṭpaṭe ra pānīpurī khān, ṭhūlā-ṭhūlā restoran pār lāne arū kohī bheṭepachi?</t>
  </si>
  <si>
    <t xml:space="preserve">How could I still enjoy standing by the roadside to eat chatpate and panipuri after meeting someone else who takes me to big restaurants?</t>
  </si>
  <si>
    <t xml:space="preserve">Consumer culture, social status, romantic relationships, changing aspirations, class</t>
  </si>
  <si>
    <t xml:space="preserve">Personal expression|Satire</t>
  </si>
  <si>
    <t xml:space="preserve">Class / Consumption</t>
  </si>
  <si>
    <t xml:space="preserve">Bitterness|Wounded pride</t>
  </si>
  <si>
    <t xml:space="preserve">Explicit: street food vs. big restaurants as class markers</t>
  </si>
  <si>
    <t xml:space="preserve">Rhetorical question|Ventriloquism (voices the ex)</t>
  </si>
  <si>
    <t xml:space="preserve">Consumption sites encode class; romance follows them.</t>
  </si>
  <si>
    <t xml:space="preserve">चटपटे र पानीपुरी ... ठूला–ठूला रेस्टुरेन्ट</t>
  </si>
  <si>
    <t xml:space="preserve">Could be the speaker's own voice rather than ventriloquizing the ex.</t>
  </si>
  <si>
    <t xml:space="preserve">LOVE_ROMANCE|SEPARATION_LOSS|CONSUMER_STATUS|CLASS_INEQUALITY_CRITIQUE</t>
  </si>
  <si>
    <t xml:space="preserve">हाइ भन्दा ‘बाइ’ रे, नम्बर देऊ भन्दा ‘नाइ’ रे; रिस उठेर ‘लभ यू’ भन्देको, ‘ठट्टा नगर्नु दाइ’ रे।</t>
  </si>
  <si>
    <t xml:space="preserve">Hāi bhanda “bāi” re, nambar deu bhanda “nāi” re; ris uṭhera “love you” bhandeko, “ṭaṭṭā nagarnu dāi” re.</t>
  </si>
  <si>
    <t xml:space="preserve">Say “Hi,” and she says “Bye”; ask for her number, and she says “No”; say “I love you” in frustration, and she says, “Don’t joke, brother.” **I call her I call her darling but she calls me dustbin**.</t>
  </si>
  <si>
    <t xml:space="preserve">Youth culture, courtship, gender relations, rejection, humour, English influence</t>
  </si>
  <si>
    <t xml:space="preserve">Humor|Courtship narrative</t>
  </si>
  <si>
    <t xml:space="preserve">Interpersonal / Youth</t>
  </si>
  <si>
    <t xml:space="preserve">Language</t>
  </si>
  <si>
    <t xml:space="preserve">Frustration|Amusement</t>
  </si>
  <si>
    <t xml:space="preserve">Woman</t>
  </si>
  <si>
    <t xml:space="preserve">Courtship (rejected)</t>
  </si>
  <si>
    <t xml:space="preserve">Eros (unrequited)</t>
  </si>
  <si>
    <t xml:space="preserve">Courtship script; rejection via 'दाइ' (brother-zoning)</t>
  </si>
  <si>
    <t xml:space="preserve">Youth</t>
  </si>
  <si>
    <t xml:space="preserve">Escalating rejection</t>
  </si>
  <si>
    <t xml:space="preserve">Rhyme (बाइ/नाइ/दाइ)|Code-mixing (hi, bye, love you)</t>
  </si>
  <si>
    <t xml:space="preserve">Comic narration of failed courtship.</t>
  </si>
  <si>
    <t xml:space="preserve">'ठट्टा नगर्नु दाइ' रे</t>
  </si>
  <si>
    <t xml:space="preserve">Translation field contains an appended bold English line ('I call her I call her darling but she calls me dustbin') absent from the Nepali; likely a separate inscription. Split or remove.</t>
  </si>
  <si>
    <t xml:space="preserve">HUMOR|LOVE_ROMANCE|CODE_MIXING_SLANG|WOMEN_REPRESENTATION</t>
  </si>
  <si>
    <t xml:space="preserve">दुवै नभए कतार छ, हामीलाई अलिक हतार छ।</t>
  </si>
  <si>
    <t xml:space="preserve">Duvai nabhae Qatar cha, hāmīlāī alik hatār cha.</t>
  </si>
  <si>
    <t xml:space="preserve">If neither of the two works, Qatar is there; we are in somewhat of a hurry.</t>
  </si>
  <si>
    <t xml:space="preserve">Foreign employment, migration, economic pressure, youth aspiration</t>
  </si>
  <si>
    <t xml:space="preserve">Slogan|Humor</t>
  </si>
  <si>
    <t xml:space="preserve">Economic / Migration</t>
  </si>
  <si>
    <t xml:space="preserve">Urgency|Resigned humour</t>
  </si>
  <si>
    <t xml:space="preserve">Self / peers</t>
  </si>
  <si>
    <t xml:space="preserve">Explicit: Qatar as fallback</t>
  </si>
  <si>
    <t xml:space="preserve">Youth|Migrant</t>
  </si>
  <si>
    <t xml:space="preserve">Migration as default exit</t>
  </si>
  <si>
    <t xml:space="preserve">Constrained</t>
  </si>
  <si>
    <t xml:space="preserve">Deadpan</t>
  </si>
  <si>
    <t xml:space="preserve">Rhyme (कतार/हतार)</t>
  </si>
  <si>
    <t xml:space="preserve">Labour migration as the default option.</t>
  </si>
  <si>
    <t xml:space="preserve">दुवै नभए कतार छ</t>
  </si>
  <si>
    <t xml:space="preserve">'दुवै' (both) has no referent; likely a fragment of a longer couplet (cf. #54).</t>
  </si>
  <si>
    <t xml:space="preserve">MIGRATION|HUMOR</t>
  </si>
  <si>
    <t xml:space="preserve">गाडी हो मुगालीको, आवाज दिन्छ फाइबरको; दुनियाँका छोरी पोइल जान्छन्, दोष किन ड्राइभरको?</t>
  </si>
  <si>
    <t xml:space="preserve">Gāḍī ho Mugālīko, āwāj dincha phāibarko; duniyākā chorī poil jānchan, doṣ kina ḍrāibarko?</t>
  </si>
  <si>
    <t xml:space="preserve">The vehicle belongs to Mugali and makes a sound like fibre; girls in this world marry and leave, so why blame the driver?</t>
  </si>
  <si>
    <t xml:space="preserve">Marriage, gender, responsibility and blame, mobility, humour</t>
  </si>
  <si>
    <t xml:space="preserve">The vehicle belongs to a Mugali (a person from Mugu); it sounds like fibre. The world's daughters elope — why blame the driver?</t>
  </si>
  <si>
    <t xml:space="preserve">Couplet|Humor</t>
  </si>
  <si>
    <t xml:space="preserve">Driver identity|Place</t>
  </si>
  <si>
    <t xml:space="preserve">Defensiveness|Playful</t>
  </si>
  <si>
    <t xml:space="preserve">Society</t>
  </si>
  <si>
    <t xml:space="preserve">Driver–society</t>
  </si>
  <si>
    <t xml:space="preserve">Women's elopement (पोइल जानु); deflects blame from drivers</t>
  </si>
  <si>
    <t xml:space="preserve">Reproduction (ambiguous)</t>
  </si>
  <si>
    <t xml:space="preserve">Regional (मुगाली, Mugu)|Driver</t>
  </si>
  <si>
    <t xml:space="preserve">Deflection</t>
  </si>
  <si>
    <t xml:space="preserve">Rhyme (फाइबर/ड्राइभर)|Rhetorical question</t>
  </si>
  <si>
    <t xml:space="preserve">Responds to a stereotype of drivers as eloping partners; places agency on women.</t>
  </si>
  <si>
    <t xml:space="preserve">छोरी पोइल जान्छन्, दोष किन ड्राइभरको?</t>
  </si>
  <si>
    <t xml:space="preserve">'पोइल जानु' means a woman eloping/leaving with a man, not 'marry and leave'. 'Mugali' is a demonym, not a name. 'आवाज दिन्छ फाइबरको' unclear.</t>
  </si>
  <si>
    <t xml:space="preserve">DRIVER_IDENTITY|WOMEN_REPRESENTATION|PLACE_IDENTITY|HUMOR</t>
  </si>
  <si>
    <t xml:space="preserve">हेर्दै जाऊ, मेरो यादमा रुने बनाउँछु; फोटो च्याती आगो बाल्ने तिम्रा हातहरू हरेक पल मेरै तस्बिर छुने बनाउँछु।</t>
  </si>
  <si>
    <t xml:space="preserve">Herdai jāu, mero yādamā rune banāũchu; phoṭo chyātī āgo bālne timrā hātarū harek pal merai tasbīr chhune banāũchu.</t>
  </si>
  <si>
    <t xml:space="preserve">Just wait and see; I will make you cry in my memory. I will make the hands that tore up my photograph and burned it touch my picture every moment.</t>
  </si>
  <si>
    <t xml:space="preserve">Love, heartbreak, memory, separation, emotional attachment</t>
  </si>
  <si>
    <t xml:space="preserve">Wounded love|Vindictive longing</t>
  </si>
  <si>
    <t xml:space="preserve">Romantic (rejected)</t>
  </si>
  <si>
    <t xml:space="preserve">Individual — claims control over the ex's future feelings</t>
  </si>
  <si>
    <t xml:space="preserve">Hyperbole|Image (burning photograph)</t>
  </si>
  <si>
    <t xml:space="preserve">Heartbreak turned into a promise of emotional reversal.</t>
  </si>
  <si>
    <t xml:space="preserve">मेरो यादमा रुने बनाउँछु</t>
  </si>
  <si>
    <t xml:space="preserve">LOVE_ROMANCE|SEPARATION_LOSS</t>
  </si>
  <si>
    <t xml:space="preserve">ड्राइभर भन्छ: सबैले मलाई कर्म मेरो मोटर गुडाउने; कच्ची बाटो हिँड्नुपर्छ, कान्छी, रहर होइन धुलो उडाउने।</t>
  </si>
  <si>
    <t xml:space="preserve">Ḍrāibar bhancha: sabaile malāī karma mero moṭar guḍāune; kacchī bāṭo hĩḍnupardcha, kāñchhī, rahar hoina dhulo uḍāune.</t>
  </si>
  <si>
    <t xml:space="preserve">The driver says: my work is to drive the vehicle; I have to travel on rough roads, dear, and raising dust is not my hobby.</t>
  </si>
  <si>
    <t xml:space="preserve">Dignity of labour, occupation, rural roads, infrastructure, working conditions</t>
  </si>
  <si>
    <t xml:space="preserve">Personal expression</t>
  </si>
  <si>
    <t xml:space="preserve">Occupational</t>
  </si>
  <si>
    <t xml:space="preserve">Infrastructure</t>
  </si>
  <si>
    <t xml:space="preserve">Weariness|Self-justification</t>
  </si>
  <si>
    <t xml:space="preserve">Woman (कान्छी)|Passers-by</t>
  </si>
  <si>
    <t xml:space="preserve">Driver–public</t>
  </si>
  <si>
    <t xml:space="preserve">कर्म (duty/occupation)</t>
  </si>
  <si>
    <t xml:space="preserve">Implicit: work conditions</t>
  </si>
  <si>
    <t xml:space="preserve">Rhyme (गुडाउने/उडाउने)</t>
  </si>
  <si>
    <t xml:space="preserve">Dust is a condition of the work, not a choice.</t>
  </si>
  <si>
    <t xml:space="preserve">रहर होइन धुलो उडाउने</t>
  </si>
  <si>
    <t xml:space="preserve">First clause syntax garbled ('सबैले मलाई कर्म मेरो'); verify against source photo.</t>
  </si>
  <si>
    <t xml:space="preserve">DRIVER_IDENTITY|LABOR_DIGNITY</t>
  </si>
  <si>
    <t xml:space="preserve">बाल नदिनेहरूको अगाडि बबाल भएर हिँड्न मन छ।</t>
  </si>
  <si>
    <t xml:space="preserve">Bāl nadineharūko agāḍi babāl bhaera hĩḍna man cha.</t>
  </si>
  <si>
    <t xml:space="preserve">I want to walk boldly before those who pay no attention to me.</t>
  </si>
  <si>
    <t xml:space="preserve">Self-respect, recognition, confidence, youth culture, social status</t>
  </si>
  <si>
    <t xml:space="preserve">I want to strut, looking awesome, in front of those who don't give a damn about me.</t>
  </si>
  <si>
    <t xml:space="preserve">Slang|Self-assertion</t>
  </si>
  <si>
    <t xml:space="preserve">Self-regard</t>
  </si>
  <si>
    <t xml:space="preserve">Defiant pride</t>
  </si>
  <si>
    <t xml:space="preserve">Those who ignore the speaker</t>
  </si>
  <si>
    <t xml:space="preserve">Swagger</t>
  </si>
  <si>
    <t xml:space="preserve">Wordplay (बाल/बबाल)|Slang</t>
  </si>
  <si>
    <t xml:space="preserve">Recognition sought through display.</t>
  </si>
  <si>
    <t xml:space="preserve">बाल नदिनेहरू ... बबाल</t>
  </si>
  <si>
    <t xml:space="preserve">SELF_RESPECT|CODE_MIXING_SLANG</t>
  </si>
  <si>
    <t xml:space="preserve">घरि–घरि यही जताउन आउँछ तिम्रो याद; म तिमी हुँ भनी बताउन आउँछ तिम्रो याद।</t>
  </si>
  <si>
    <t xml:space="preserve">Gharī-ghari yahī jatauna āũcha timro yād; ma timī hũ bhanī batauna āũcha timro yād.</t>
  </si>
  <si>
    <t xml:space="preserve">Your memory keeps returning again and again to remind me; your memory comes to tell me that I am you.</t>
  </si>
  <si>
    <t xml:space="preserve">Memory, love, identity, emotional attachment, nostalgia</t>
  </si>
  <si>
    <t xml:space="preserve">Poetic expression</t>
  </si>
  <si>
    <t xml:space="preserve">Longing|Attachment</t>
  </si>
  <si>
    <t xml:space="preserve">Lover</t>
  </si>
  <si>
    <t xml:space="preserve">Romantic (separated)</t>
  </si>
  <si>
    <t xml:space="preserve">Eros (longing)</t>
  </si>
  <si>
    <t xml:space="preserve">Merged self (म तिमी हुँ)</t>
  </si>
  <si>
    <t xml:space="preserve">Repetition (आउँछ तिम्रो याद)</t>
  </si>
  <si>
    <t xml:space="preserve">Past/Present</t>
  </si>
  <si>
    <t xml:space="preserve">Memory so persistent it dissolves self/other boundaries.</t>
  </si>
  <si>
    <t xml:space="preserve">म तिमी हुँ भनी</t>
  </si>
  <si>
    <t xml:space="preserve">मनमा जति नै पीडा भए पनि, ओठमा हाँसो लिएर चढ; तिमी मेरै GF भए पनि, झर्ने बेला भाडा दिएर झर।</t>
  </si>
  <si>
    <t xml:space="preserve">Manmā jati nai pīḍā bhae pani, oṭhmā hā̃so lie-ra chaḍha; timī merai GF bhae pani, jharne belā bhāḍā die-ra jhara.</t>
  </si>
  <si>
    <t xml:space="preserve">No matter how much pain you have in your heart, board with a smile; even if you are my girlfriend, pay the fare when you get off.</t>
  </si>
  <si>
    <t xml:space="preserve">Emotional resilience, romantic relationships, money, humour, professional boundaries</t>
  </si>
  <si>
    <t xml:space="preserve">Humor|Couplet</t>
  </si>
  <si>
    <t xml:space="preserve">Romance</t>
  </si>
  <si>
    <t xml:space="preserve">Girlfriend / passenger</t>
  </si>
  <si>
    <t xml:space="preserve">Romantic (playful)</t>
  </si>
  <si>
    <t xml:space="preserve">Explicit: fare</t>
  </si>
  <si>
    <t xml:space="preserve">Love vs. fare</t>
  </si>
  <si>
    <t xml:space="preserve">Rhyme (चढ/झर)|Code-mixing (GF)</t>
  </si>
  <si>
    <t xml:space="preserve">Affection does not suspend payment.</t>
  </si>
  <si>
    <t xml:space="preserve">झर्ने बेला भाडा दिएर झर</t>
  </si>
  <si>
    <t xml:space="preserve">Template variant of #23; record as variants of one inscription type.</t>
  </si>
  <si>
    <t xml:space="preserve">FARE_LIVELIHOOD|HUMOR|LOVE_ROMANCE|CODE_MIXING_SLANG|HOPE_RESILIENCE</t>
  </si>
  <si>
    <t xml:space="preserve">जङ्गलको बाटो हिँड्दैछु, सिकारी नभन्नु; लागेको भाडा माग्छु, भिकारी नभन्नु।</t>
  </si>
  <si>
    <t xml:space="preserve">Jaṅgalko bāṭo hĩḍdaichu, sikārī nabhannu; lāgeko bhāḍā māgchu, bhikārī nabhannu.</t>
  </si>
  <si>
    <t xml:space="preserve">I am travelling along a forest road, so do not call me a hunter; I ask for the fare that is due, so do not call me a beggar.</t>
  </si>
  <si>
    <t xml:space="preserve">Dignity of labour, livelihood, poverty and stigma, self-respect, rural life</t>
  </si>
  <si>
    <t xml:space="preserve">Couplet</t>
  </si>
  <si>
    <t xml:space="preserve">Occupational dignity</t>
  </si>
  <si>
    <t xml:space="preserve">Indignation|Self-respect</t>
  </si>
  <si>
    <t xml:space="preserve">Passengers</t>
  </si>
  <si>
    <t xml:space="preserve">Explicit: due fare</t>
  </si>
  <si>
    <t xml:space="preserve">Resistance (to stigma)</t>
  </si>
  <si>
    <t xml:space="preserve">Rhyme (सिकारी/भिकारी)|Analogy</t>
  </si>
  <si>
    <t xml:space="preserve">Asking for earned payment is not begging.</t>
  </si>
  <si>
    <t xml:space="preserve">लागेको भाडा माग्छु, भिकारी नभन्नु</t>
  </si>
  <si>
    <t xml:space="preserve">FARE_LIVELIHOOD|LABOR_DIGNITY|SELF_RESPECT</t>
  </si>
  <si>
    <t xml:space="preserve">नपल्टाउनु अब मेरो जिन्दगीका पुराना पानाहरू; पहिले जे थियो, त्यस्तै छैन। अहिले कस्तो छु, यो कसैलाई थाहा छैन।</t>
  </si>
  <si>
    <t xml:space="preserve">Napalṭāunu aba mero jindagīkā purānā pānāharū; pahile je thiyo, tyastai chaina. Ahile kasto chu, yo kasailāī thāhā chaina.</t>
  </si>
  <si>
    <t xml:space="preserve">Do not turn back the old pages of my life. I am no longer what I was before. No one knows what I am like now.</t>
  </si>
  <si>
    <t xml:space="preserve">Changing identity, transformation, past and present, memory, social judgment</t>
  </si>
  <si>
    <t xml:space="preserve">Self / Identity</t>
  </si>
  <si>
    <t xml:space="preserve">Guardedness|Quiet pride</t>
  </si>
  <si>
    <t xml:space="preserve">Others who judge</t>
  </si>
  <si>
    <t xml:space="preserve">Transformed self</t>
  </si>
  <si>
    <t xml:space="preserve">Metaphor (pages of life)</t>
  </si>
  <si>
    <t xml:space="preserve">Past vs. Present</t>
  </si>
  <si>
    <t xml:space="preserve">Refusal to be defined by one's past.</t>
  </si>
  <si>
    <t xml:space="preserve">पहिले जे थियो, त्यस्तै छैन</t>
  </si>
  <si>
    <t xml:space="preserve">सुन माया, आँखाभरि आँसु भए पनि ओठमा मुस्कान लिएर चढ; तिमी मेरी प्यारी भए पनि भाडा दिएर झर।</t>
  </si>
  <si>
    <t xml:space="preserve">Suna māyā, ā̃khābhari ā̃su bhae pani oṭhmā muskān lie-ra chaḍha; timī merī pyārī bhae pani bhāḍā die-ra jhara.</t>
  </si>
  <si>
    <t xml:space="preserve">Listen, my love: even if your eyes are filled with tears, board with a smile; even if you are my beloved, pay the fare when you get off.</t>
  </si>
  <si>
    <t xml:space="preserve">Love and separation; emotional resilience; livelihood; humour; professional responsibility.</t>
  </si>
  <si>
    <t xml:space="preserve">Wry tenderness</t>
  </si>
  <si>
    <t xml:space="preserve">Beloved / passenger</t>
  </si>
  <si>
    <t xml:space="preserve">Rhyme (चढ/झर)</t>
  </si>
  <si>
    <t xml:space="preserve">Same template as #20 with tears in place of pain.</t>
  </si>
  <si>
    <t xml:space="preserve">भाडा दिएर झर</t>
  </si>
  <si>
    <t xml:space="preserve">Template variant of #20.</t>
  </si>
  <si>
    <t xml:space="preserve">FARE_LIVELIHOOD|HUMOR|LOVE_ROMANCE|HOPE_RESILIENCE</t>
  </si>
  <si>
    <t xml:space="preserve">निद्रा के हो, ड्राइभरलाई सोध; पीडा के हो, परदेशीलाई सोध; आँसु के हो, आमालाई सोध; भोक के हो, अनाथ बच्चालाई सोध; जिन्दगी के हो, बुबालाई सोध; जलन के हो, आफन्तलाई सोध।</t>
  </si>
  <si>
    <t xml:space="preserve">Nidrā ke ho, ḍrāibar-lāī sodha; pīḍā ke ho, pardeshī-lāī sodha; ā̃su ke ho, āmā-lāī sodha; bhok ke ho, anāth bacchā-lāī sodha; jindagī ke ho, bubā-lāī sodha; jalan ke ho, āphant-lāī sodha.</t>
  </si>
  <si>
    <t xml:space="preserve">Ask a driver what sleep is; ask a migrant what pain is; ask a mother what tears are; ask an orphaned child what hunger is; ask a father what life is; ask relatives what jealousy is.</t>
  </si>
  <si>
    <t xml:space="preserve">Labour and exhaustion; migration; motherhood; poverty; orphanhood; family; jealousy; human suffering.</t>
  </si>
  <si>
    <t xml:space="preserve">Aphorism|List poem</t>
  </si>
  <si>
    <t xml:space="preserve">Existential / Suffering</t>
  </si>
  <si>
    <t xml:space="preserve">Family|Labour|Migration</t>
  </si>
  <si>
    <t xml:space="preserve">Pathos|Sorrow</t>
  </si>
  <si>
    <t xml:space="preserve">Social roles</t>
  </si>
  <si>
    <t xml:space="preserve">Family|Kin</t>
  </si>
  <si>
    <t xml:space="preserve">जलन (jealousy) attributed to relatives</t>
  </si>
  <si>
    <t xml:space="preserve">Driver|Migrant|Mother|Father|Orphan</t>
  </si>
  <si>
    <t xml:space="preserve">Anaphora ('X के हो, Y लाई सोध')</t>
  </si>
  <si>
    <t xml:space="preserve">Each role is defined by its characteristic suffering; relatives defined by jealousy.</t>
  </si>
  <si>
    <t xml:space="preserve">निद्रा के हो, ड्राइभरलाई सोध...</t>
  </si>
  <si>
    <t xml:space="preserve">DRIVER_IDENTITY|LABOR_DIGNITY|MIGRATION|FAMILY|DISTRUST_HYPOCRISY</t>
  </si>
  <si>
    <t xml:space="preserve">चौरजहारीमा चट्ट कम्मर छिनेको; जाने भए जाम कान्छी, म त सुर्खेततिर हिँडेको।</t>
  </si>
  <si>
    <t xml:space="preserve">Caurjahārīmā caṭṭa kammar chineko; jāne bhae jām kāñchhī, ma ta Surkhet-tira hĩḍeko.</t>
  </si>
  <si>
    <t xml:space="preserve">In Chaurjahari, with a strikingly slender waist; if you want to come, let us go, dear—I am heading toward Surkhet.</t>
  </si>
  <si>
    <t xml:space="preserve">Local identity; mobility; romance; regional geography; popular culture.</t>
  </si>
  <si>
    <t xml:space="preserve">Folk-song line|Flirtation</t>
  </si>
  <si>
    <t xml:space="preserve">Place</t>
  </si>
  <si>
    <t xml:space="preserve">Playful desire</t>
  </si>
  <si>
    <t xml:space="preserve">Woman (कान्छी)</t>
  </si>
  <si>
    <t xml:space="preserve">Flirtation</t>
  </si>
  <si>
    <t xml:space="preserve">Eros</t>
  </si>
  <si>
    <t xml:space="preserve">Female body described (slender waist)</t>
  </si>
  <si>
    <t xml:space="preserve">Regional (Chaurjahari → Surkhet)</t>
  </si>
  <si>
    <t xml:space="preserve">Invitation formula</t>
  </si>
  <si>
    <t xml:space="preserve">Karnali route geography carries a romantic invitation.</t>
  </si>
  <si>
    <t xml:space="preserve">चौरजहारीमा ... सुर्खेततिर</t>
  </si>
  <si>
    <t xml:space="preserve">Resembles a lok-geet line; check if quoted from a known song.</t>
  </si>
  <si>
    <t xml:space="preserve">PLACE_IDENTITY|LOVE_ROMANCE|WOMEN_REPRESENTATION</t>
  </si>
  <si>
    <t xml:space="preserve">तिमी त नफर्किने खोला रहेछौ, तर म भने किनारा बनी पर्खिरहेँ। बाटो कठिन भए पनि हिम्मत हारिन्न।</t>
  </si>
  <si>
    <t xml:space="preserve">Timī ta nafarkine kholā rahechau, tara ma bhane kinārā banī parkhirahẽ. Bāṭo kaṭhin bhae pani himmat hārinna.</t>
  </si>
  <si>
    <t xml:space="preserve">You are like a river that never returns, yet I remain waiting like its shore. Even if the road is difficult, I will not lose courage.</t>
  </si>
  <si>
    <t xml:space="preserve">Love and separation; waiting; perseverance; hardship; hope.</t>
  </si>
  <si>
    <t xml:space="preserve">Longing|Perseverance</t>
  </si>
  <si>
    <t xml:space="preserve">Absent lover</t>
  </si>
  <si>
    <t xml:space="preserve">Eros (waiting)</t>
  </si>
  <si>
    <t xml:space="preserve">Metaphor (river / shore)</t>
  </si>
  <si>
    <t xml:space="preserve">Waiting as fidelity; second sentence generalizes to courage.</t>
  </si>
  <si>
    <t xml:space="preserve">नफर्किने खोला ... किनारा बनी पर्खिरहेँ</t>
  </si>
  <si>
    <t xml:space="preserve">Second sentence may be a separate slogan joined to the first.</t>
  </si>
  <si>
    <t xml:space="preserve">LOVE_ROMANCE|SEPARATION_LOSS|HOPE_RESILIENCE</t>
  </si>
  <si>
    <t xml:space="preserve">सागरझैँ शान्त बन, तुफानझैँ जोश गर; दुनियाँ सारा स्वार्थी छ, कदम–कदममा होस गर।</t>
  </si>
  <si>
    <t xml:space="preserve">Sāgarjhaĩ śānta bana, tufān-jhaĩ jośa gara; duniyā sārā svārthī cha, kadam-kadammā hos gara.</t>
  </si>
  <si>
    <t xml:space="preserve">Be calm like the ocean and passionate like a storm; the world is full of self-interest, so be cautious at every step.</t>
  </si>
  <si>
    <t xml:space="preserve">Self-control; ambition; caution; distrust; social reality; personal wisdom.</t>
  </si>
  <si>
    <t xml:space="preserve">Aphorism|Advice</t>
  </si>
  <si>
    <t xml:space="preserve">Moral / Advice</t>
  </si>
  <si>
    <t xml:space="preserve">Vigilance</t>
  </si>
  <si>
    <t xml:space="preserve">Reader</t>
  </si>
  <si>
    <t xml:space="preserve">Simile (ocean / storm)</t>
  </si>
  <si>
    <t xml:space="preserve">Balance of calm and passion amid a selfish world.</t>
  </si>
  <si>
    <t xml:space="preserve">दुनियाँ सारा स्वार्थी छ</t>
  </si>
  <si>
    <t xml:space="preserve">MORAL_ADVICE|DISTRUST_HYPOCRISY</t>
  </si>
  <si>
    <t xml:space="preserve">यो पैसा कसले बनायो? जसले बनायो, बेकार बनायो। हुनेलाई त ठिकै छ, तर नहुनेलाई दिग्दार बनायो।</t>
  </si>
  <si>
    <t xml:space="preserve">Yo paisā kasle banāyo? Jasle banāyo, bekār banāyo. Hunelāī ta ṭhikai cha, tara nahunelāī digdār banāyo.</t>
  </si>
  <si>
    <t xml:space="preserve">Who created this money? Whoever created it made it troublesome. It may be fine for those who have it, but it has made life difficult for those who do not.</t>
  </si>
  <si>
    <t xml:space="preserve">Money and inequality; poverty; economic injustice; materialism; social frustration.</t>
  </si>
  <si>
    <t xml:space="preserve">Social commentary</t>
  </si>
  <si>
    <t xml:space="preserve">Economic / Inequality</t>
  </si>
  <si>
    <t xml:space="preserve">Frustration</t>
  </si>
  <si>
    <t xml:space="preserve">Money / unnamed creator</t>
  </si>
  <si>
    <t xml:space="preserve">Explicit: haves vs. have-nots</t>
  </si>
  <si>
    <t xml:space="preserve">Rhetorical question|Rhyme (बनायो)</t>
  </si>
  <si>
    <t xml:space="preserve">Money as the source of unequal suffering.</t>
  </si>
  <si>
    <t xml:space="preserve">नहुनेलाई दिग्दार बनायो</t>
  </si>
  <si>
    <t xml:space="preserve">MONEY_MATERIALISM|CLASS_INEQUALITY_CRITIQUE</t>
  </si>
  <si>
    <t xml:space="preserve">बितेर जानेछ यो दुःखको घडी पनि; अलिकति धैर्य गरिदेऊ न, आमा।</t>
  </si>
  <si>
    <t xml:space="preserve">Biter jānecha yo duḥkhako ghaḍī pani; alikati dhairya garideu na, āmā.</t>
  </si>
  <si>
    <t xml:space="preserve">This difficult time will also pass; please have a little patience, Mother.</t>
  </si>
  <si>
    <t xml:space="preserve">Hope; family; hardship; patience; emotional support; resilience.</t>
  </si>
  <si>
    <t xml:space="preserve">Personal expression|Encouragement</t>
  </si>
  <si>
    <t xml:space="preserve">Family / Hope</t>
  </si>
  <si>
    <t xml:space="preserve">Hope|Tenderness</t>
  </si>
  <si>
    <t xml:space="preserve">Mother</t>
  </si>
  <si>
    <t xml:space="preserve">Parent–child</t>
  </si>
  <si>
    <t xml:space="preserve">Storge</t>
  </si>
  <si>
    <t xml:space="preserve">Direct address</t>
  </si>
  <si>
    <t xml:space="preserve">Child comforting mother through hardship.</t>
  </si>
  <si>
    <t xml:space="preserve">अलिकति धैर्य गरिदेऊ न, आमा</t>
  </si>
  <si>
    <t xml:space="preserve">FAMILY|HOPE_RESILIENCE</t>
  </si>
  <si>
    <t xml:space="preserve">सम्पत्ति हुँदा शत्रु बढ्छन्; सम्पत्ति नहुँदा आफन्त घट्छन्। धन देखे नाता जोड्छन्; गरिब देखे साथ छोड्छन्।</t>
  </si>
  <si>
    <t xml:space="preserve">Sampatti hundā śatru baḍhchan; sampatti nahundā āphanta ghaṭchan. Dhan dekhe nātā joḍchan; garīb dekhe sātha choḍchan.</t>
  </si>
  <si>
    <t xml:space="preserve">When you have wealth, your enemies increase; when you have no wealth, your relatives decrease. People establish relationships when they see money and abandon you when they see poverty.</t>
  </si>
  <si>
    <t xml:space="preserve">Wealth and relationships; class inequality; hypocrisy; poverty; social discrimination.</t>
  </si>
  <si>
    <t xml:space="preserve">Aphorism</t>
  </si>
  <si>
    <t xml:space="preserve">Economic / Relationships</t>
  </si>
  <si>
    <t xml:space="preserve">Cynicism|Disillusionment</t>
  </si>
  <si>
    <t xml:space="preserve">Relatives / society</t>
  </si>
  <si>
    <t xml:space="preserve">Kin</t>
  </si>
  <si>
    <t xml:space="preserve">Explicit: wealth shapes kinship</t>
  </si>
  <si>
    <t xml:space="preserve">Parallelism|Chiasmus</t>
  </si>
  <si>
    <t xml:space="preserve">Kinship tracks wealth.</t>
  </si>
  <si>
    <t xml:space="preserve">धन देखे नाता जोड्छन्; गरिब देखे साथ छोड्छन्</t>
  </si>
  <si>
    <t xml:space="preserve">MONEY_MATERIALISM|CLASS_INEQUALITY_CRITIQUE|DISTRUST_HYPOCRISY|FAMILY</t>
  </si>
  <si>
    <t xml:space="preserve">कलम रोए कवि बन्छ; कवि रोए कविता। धनी मरे श्रद्धाञ्जली; गरिब मरे रमिता।</t>
  </si>
  <si>
    <t xml:space="preserve">Kalam roe kavi bancha; kavi roe kavitā. Dhanī mare śraddhāñjalī; garīb mare ramitā.</t>
  </si>
  <si>
    <t xml:space="preserve">When the pen weeps, it becomes a poet; when the poet weeps, it becomes poetry. When the rich die, there are tributes; when the poor die, it becomes a spectacle.</t>
  </si>
  <si>
    <t xml:space="preserve">Literature; class inequality; death; social hypocrisy; dignity; social criticism.</t>
  </si>
  <si>
    <t xml:space="preserve">Aphorism|Social commentary</t>
  </si>
  <si>
    <t xml:space="preserve">Class / Death</t>
  </si>
  <si>
    <t xml:space="preserve">Bitterness|Sorrow</t>
  </si>
  <si>
    <t xml:space="preserve">Explicit: rich vs. poor</t>
  </si>
  <si>
    <t xml:space="preserve">Chain construction|Antithesis (श्रद्धाञ्जली/रमिता)</t>
  </si>
  <si>
    <t xml:space="preserve">Even death is ranked by class.</t>
  </si>
  <si>
    <t xml:space="preserve">धनी मरे श्रद्धाञ्जली; गरिब मरे रमिता</t>
  </si>
  <si>
    <t xml:space="preserve">CLASS_INEQUALITY_CRITIQUE|MORTALITY_RISK</t>
  </si>
  <si>
    <t xml:space="preserve">मर्द आफ्नो सपनासँग लड्छ; नामर्द अर्काको रिस गर्छ।</t>
  </si>
  <si>
    <t xml:space="preserve">Marda āphno sapanāsãga laḍcha; nāmarda arkāko ris garcha.</t>
  </si>
  <si>
    <t xml:space="preserve">A courageous man struggles with his own dreams; a coward is consumed by resentment toward others.</t>
  </si>
  <si>
    <t xml:space="preserve">Masculinity; ambition; self-reliance; jealousy; personal struggle.</t>
  </si>
  <si>
    <t xml:space="preserve">A real man fights with his own dreams; an unmanly one resents others.</t>
  </si>
  <si>
    <t xml:space="preserve">Gender / Masculinity</t>
  </si>
  <si>
    <t xml:space="preserve">Determination|Contempt</t>
  </si>
  <si>
    <t xml:space="preserve">Men</t>
  </si>
  <si>
    <t xml:space="preserve">मर्द/नामर्द: courage coded as manhood</t>
  </si>
  <si>
    <t xml:space="preserve">Reproduction</t>
  </si>
  <si>
    <t xml:space="preserve">Antithesis</t>
  </si>
  <si>
    <t xml:space="preserve">Ambition framed as a test of manhood.</t>
  </si>
  <si>
    <t xml:space="preserve">मर्द ... नामर्द</t>
  </si>
  <si>
    <t xml:space="preserve">'coward' loses the gendered insult in नामर्द.</t>
  </si>
  <si>
    <t xml:space="preserve">MASCULINITY|SELF_RESPECT|MORAL_ADVICE</t>
  </si>
  <si>
    <t xml:space="preserve">“नाइँ, मलाई तिमी नै चाहिन्छ” रे; म घोप्टिनी फुस्कियो कि क्या हो? “चाहिन्छ” भन्दैमा अर्काको बडो कहाँ पाइन्छ त नि?</t>
  </si>
  <si>
    <t xml:space="preserve">“Nāĩ, malāī timī nai cāhincha” re; ma ghopṭinī phuskio ki kyā ho? “Cāhincha” bhandaimā arkāko baḍo kahā̃ pāincha ta ni?</t>
  </si>
  <si>
    <t xml:space="preserve">“No, I want only you,” she says. Have I somehow become foolish enough to fall for it? Just because someone says they want something does not mean they can have what belongs to someone else.</t>
  </si>
  <si>
    <t xml:space="preserve">Romantic relationships; desire; social boundaries; humour; possessiveness; interpersonal relationships.</t>
  </si>
  <si>
    <t xml:space="preserve">Amusement|Suspicion</t>
  </si>
  <si>
    <t xml:space="preserve">Romantic (contested)</t>
  </si>
  <si>
    <t xml:space="preserve">Mock incredulity</t>
  </si>
  <si>
    <t xml:space="preserve">Reported speech|Rhetorical question</t>
  </si>
  <si>
    <t xml:space="preserve">Comic suspicion of a declaration of love; claims over 'someone else's' partner.</t>
  </si>
  <si>
    <t xml:space="preserve">अर्काको ... कहाँ पाइन्छ</t>
  </si>
  <si>
    <t xml:space="preserve">घोप्टिनी, फुस्कियो and बडो unclear; translation uncertain.</t>
  </si>
  <si>
    <t xml:space="preserve">HUMOR|LOVE_ROMANCE</t>
  </si>
  <si>
    <t xml:space="preserve">शान्तिनेलाई दिइँदैन मान; आयो सल्यानको राजा, आफैँ जान।</t>
  </si>
  <si>
    <t xml:space="preserve">Śāntinelāī dĩdaina māna; āyo Salyānko rājā, āphaĩ jāna.</t>
  </si>
  <si>
    <t xml:space="preserve">No respect is given to Shantineli; when the king of Salyan arrives, he goes on his own way.</t>
  </si>
  <si>
    <t xml:space="preserve">Local identity; regional rivalry; humour; status; place-based pride.</t>
  </si>
  <si>
    <t xml:space="preserve">Humor|Regional boast</t>
  </si>
  <si>
    <t xml:space="preserve">Place / Status</t>
  </si>
  <si>
    <t xml:space="preserve">Other road users</t>
  </si>
  <si>
    <t xml:space="preserve">Regional (Salyan)</t>
  </si>
  <si>
    <t xml:space="preserve">Mock royalty</t>
  </si>
  <si>
    <t xml:space="preserve">Self-aggrandizing title ('राजा')</t>
  </si>
  <si>
    <t xml:space="preserve">Place-based pride in a mock-royal register.</t>
  </si>
  <si>
    <t xml:space="preserve">आयो सल्यानको राजा</t>
  </si>
  <si>
    <t xml:space="preserve">'Respect isn't given to the meek; the king of Salyan has arrived — move aside yourselves.'</t>
  </si>
  <si>
    <t xml:space="preserve">शान्तिने and आफैँ जान unclear; original translation doubtful.</t>
  </si>
  <si>
    <t xml:space="preserve">PLACE_IDENTITY|HUMOR|SELF_RESPECT</t>
  </si>
  <si>
    <t xml:space="preserve">बुवाले कुन उमेरसम्म कमाउनुपर्छ? त्यो छोरामा भर पर्छ, बुवामा होइन।</t>
  </si>
  <si>
    <t xml:space="preserve">Buvāle kun umer-samma kamāunupardcha? Tyo chhorāmā bhar parcha, buvāmā hoina.</t>
  </si>
  <si>
    <t xml:space="preserve">Until what age must a father keep earning? That depends on the son, not on the father.</t>
  </si>
  <si>
    <t xml:space="preserve">Parent–child relations; filial responsibility; ageing; family economics; generational expectations.</t>
  </si>
  <si>
    <t xml:space="preserve">Family / Intergenerational</t>
  </si>
  <si>
    <t xml:space="preserve">Moral reproach</t>
  </si>
  <si>
    <t xml:space="preserve">Sons</t>
  </si>
  <si>
    <t xml:space="preserve">Filial duty</t>
  </si>
  <si>
    <t xml:space="preserve">Explicit: father's earning age</t>
  </si>
  <si>
    <t xml:space="preserve">Son (not child) named as responsible</t>
  </si>
  <si>
    <t xml:space="preserve">Question and answer</t>
  </si>
  <si>
    <t xml:space="preserve">Places responsibility for ageing fathers on sons.</t>
  </si>
  <si>
    <t xml:space="preserve">त्यो छोरामा भर पर्छ</t>
  </si>
  <si>
    <t xml:space="preserve">FAMILY|MORAL_ADVICE</t>
  </si>
  <si>
    <t xml:space="preserve">साथ कहिल्यै नछाड्नु है, माया, सुखमा होस् या दुःखको मोडमा। ड्राइभर भनेर कहिले हेला नगर्नु है, माया; तिमी नै त हौ, रोडमा होस् या करोडमा।</t>
  </si>
  <si>
    <t xml:space="preserve">Sātha kahilyai nachāḍnu hai, māyā, sukhmā hos yā duḥkhako moḍmā. Ḍrāibar bhanera kahile helā nagarnu hai, māyā; timī nai ta hau, roḍmā hos yā karoḍmā.</t>
  </si>
  <si>
    <t xml:space="preserve">Never leave my side, my love, whether in happiness or at a difficult turn in life. Never look down on me because I am a driver; you are the one, whether on the road or among the wealthy.</t>
  </si>
  <si>
    <t xml:space="preserve">Love; loyalty; dignity of labour; social status; class; romantic commitment.</t>
  </si>
  <si>
    <t xml:space="preserve">Couplet|Romantic expression</t>
  </si>
  <si>
    <t xml:space="preserve">Romance / Dignity</t>
  </si>
  <si>
    <t xml:space="preserve">Class</t>
  </si>
  <si>
    <t xml:space="preserve">Devotion|Vulnerability</t>
  </si>
  <si>
    <t xml:space="preserve">Romantic (committed)</t>
  </si>
  <si>
    <t xml:space="preserve">Eros (committed)</t>
  </si>
  <si>
    <t xml:space="preserve">Explicit: road vs. crore</t>
  </si>
  <si>
    <t xml:space="preserve">Wordplay (रोड/करोड)|Rhyme (मोडमा/करोडमा)</t>
  </si>
  <si>
    <t xml:space="preserve">Asks love not to follow occupational stigma.</t>
  </si>
  <si>
    <t xml:space="preserve">ड्राइभर भनेर कहिले हेला नगर्नु</t>
  </si>
  <si>
    <t xml:space="preserve">LOVE_ROMANCE|LABOR_DIGNITY|DRIVER_IDENTITY|SELF_RESPECT</t>
  </si>
  <si>
    <t xml:space="preserve">संसारमा सबैभन्दा बढी झुट अदालतमा बोलिन्छ र सबैभन्दा बढी सत्य भट्टीमा बोलिन्छ।</t>
  </si>
  <si>
    <t xml:space="preserve">Saṁsāramā sabaibhanda baḍhī jhuṭa adālatmā bolincha ra sabaibhanda baḍhī satya bhaṭṭīmā bolincha.</t>
  </si>
  <si>
    <t xml:space="preserve">In this world, the most lies are spoken in courts, while the most truth is spoken in taverns.</t>
  </si>
  <si>
    <t xml:space="preserve">Truth and deception; justice; law; alcohol culture; social hypocrisy; humour.</t>
  </si>
  <si>
    <t xml:space="preserve">Institutional / Legal</t>
  </si>
  <si>
    <t xml:space="preserve">Cynicism|Amusement</t>
  </si>
  <si>
    <t xml:space="preserve">Courts</t>
  </si>
  <si>
    <t xml:space="preserve">Critique of justice institutions; non-partisan</t>
  </si>
  <si>
    <t xml:space="preserve">Paradox</t>
  </si>
  <si>
    <t xml:space="preserve">Paradox|Antithesis (court / tavern)</t>
  </si>
  <si>
    <t xml:space="preserve">Formal justice as a site of lies; informal space as a site of truth.</t>
  </si>
  <si>
    <t xml:space="preserve">झुट अदालतमा ... सत्य भट्टीमा</t>
  </si>
  <si>
    <t xml:space="preserve">INSTITUTION_CRITIQUE|HUMOR|DISTRUST_HYPOCRISY</t>
  </si>
  <si>
    <t xml:space="preserve">जिन्दगीभर साथ दिन्छु भन्यौ, हैन? कस्तो एक्लो बनाएर गयौ, माया!</t>
  </si>
  <si>
    <t xml:space="preserve">Jindagībhar sātha dinchu bhanyau, haina? Kasto eklo banāera gayau, māyā!</t>
  </si>
  <si>
    <t xml:space="preserve">You said you would stay with me for a lifetime, didn’t you? Yet you left me so completely alone, my love!</t>
  </si>
  <si>
    <t xml:space="preserve">Love; betrayal; separation; loneliness; emotional loss.</t>
  </si>
  <si>
    <t xml:space="preserve">Personal expression|Lament</t>
  </si>
  <si>
    <t xml:space="preserve">Betrayal|Loneliness</t>
  </si>
  <si>
    <t xml:space="preserve">Broken lifetime promise.</t>
  </si>
  <si>
    <t xml:space="preserve">कस्तो एक्लो बनाएर गयौ</t>
  </si>
  <si>
    <t xml:space="preserve">कसैसँग झुट बोलेर सम्बन्ध गाँस्नु भन्दा साँचो बोलेर सम्बन्ध तोड्नु धेरै राम्रो हुन्छ।</t>
  </si>
  <si>
    <t xml:space="preserve">Kasaīsãga jhuṭa bolera sambandha gā̃snu bhanda sā̃co bolera sambandha toḍnu dherai rāmrō hunchha.</t>
  </si>
  <si>
    <t xml:space="preserve">It is much better to tell the truth and end a relationship than to build a relationship by lying to someone.</t>
  </si>
  <si>
    <t xml:space="preserve">Honesty; relationships; morality; trust; personal integrity.</t>
  </si>
  <si>
    <t xml:space="preserve">Moral statement</t>
  </si>
  <si>
    <t xml:space="preserve">Conviction</t>
  </si>
  <si>
    <t xml:space="preserve">Romantic (generic)</t>
  </si>
  <si>
    <t xml:space="preserve">Comparison</t>
  </si>
  <si>
    <t xml:space="preserve">Neutral</t>
  </si>
  <si>
    <t xml:space="preserve">Honesty above relationship preservation.</t>
  </si>
  <si>
    <t xml:space="preserve">साँचो बोलेर सम्बन्ध तोड्नु धेरै राम्रो</t>
  </si>
  <si>
    <t xml:space="preserve">MORAL_ADVICE|LOVE_ROMANCE</t>
  </si>
  <si>
    <t xml:space="preserve">उडाउने र गुडाउनेको भर हुँदैन; दुर्घटना गर्ने कसैको रहर हुँदैन। “पर्खी बस, फर्की आउँछु” भन्ने ड्राइभरको बानी हो, तर आफ्नो जीवनको भर हुँदैन।</t>
  </si>
  <si>
    <t xml:space="preserve">Uḍāune ra guḍāune ko bhar hudaina; durghaṭanā garne kasai ko rahar hudaina. “Parkhī basa, farkī āũchu” bhanne ḍrāibarko bānī ho, tara āphno jīvan ko bhar hudaina.</t>
  </si>
  <si>
    <t xml:space="preserve">There is no certainty in travelling by air or road; no one wishes to have an accident. “Wait for me, I will come back” is what a driver usually says, but there is no certainty about one’s life.</t>
  </si>
  <si>
    <t xml:space="preserve">Road safety; occupational risk; mortality; uncertainty; family separation; transport culture.</t>
  </si>
  <si>
    <t xml:space="preserve">Aphorism|Personal expression</t>
  </si>
  <si>
    <t xml:space="preserve">Occupational risk</t>
  </si>
  <si>
    <t xml:space="preserve">Mortality</t>
  </si>
  <si>
    <t xml:space="preserve">Anxiety|Resignation</t>
  </si>
  <si>
    <t xml:space="preserve">Family / passengers</t>
  </si>
  <si>
    <t xml:space="preserve">Driver–family</t>
  </si>
  <si>
    <t xml:space="preserve">Fate / chance</t>
  </si>
  <si>
    <t xml:space="preserve">Reported speech|Rhyme (भर/रहर)</t>
  </si>
  <si>
    <t xml:space="preserve">The driver's routine promise to return is never guaranteed.</t>
  </si>
  <si>
    <t xml:space="preserve">आफ्नो जीवनको भर हुँदैन</t>
  </si>
  <si>
    <t xml:space="preserve">DRIVER_IDENTITY|MORTALITY_RISK|LABOR_DIGNITY</t>
  </si>
  <si>
    <t xml:space="preserve">अनजानबाट चिनजान हुँदै फेरि अनजान हुने सम्बन्ध नै माया हो।</t>
  </si>
  <si>
    <t xml:space="preserve">Anjān-bāṭa cinjān hundai pheri anjān hune sambandha nai māyā ho.</t>
  </si>
  <si>
    <t xml:space="preserve">Love is a relationship that begins with strangers becoming acquainted and eventually turns them into strangers again.</t>
  </si>
  <si>
    <t xml:space="preserve">Love; relationships; impermanence; emotional change; separation.</t>
  </si>
  <si>
    <t xml:space="preserve">Melancholy</t>
  </si>
  <si>
    <t xml:space="preserve">Love (abstract)</t>
  </si>
  <si>
    <t xml:space="preserve">Eros (impermanent)</t>
  </si>
  <si>
    <t xml:space="preserve">Cyclical structure</t>
  </si>
  <si>
    <t xml:space="preserve">Cyclical</t>
  </si>
  <si>
    <t xml:space="preserve">Love defined by its ending.</t>
  </si>
  <si>
    <t xml:space="preserve">फेरि अनजान हुने सम्बन्ध नै माया हो</t>
  </si>
  <si>
    <t xml:space="preserve">सुन्नु न, आमा! जिन्दगी सम्झिँदा रमाउन मन लाग्छ; भविष्य सम्झँदा कमाउन मन लाग्छ। राम्रो गर्नेलाई घात गर्दिनँ, नराम्रो गर्नेलाई हात पनि जोड्दिनँ। आफ्नो ठाउँमा बस्छु; म कसैको औकात देखेर शिर झुकाउनेमा पर्दिनँ।</t>
  </si>
  <si>
    <t xml:space="preserve">Sunnu na, āmā! Jindagī samjhĩdā ramāuna mana lāgcha; bhaviṣya samjhĩdā kamāuna mana lāgcha. Rāmrō garne-lāī ghāta gardinã, narāmrō garne-lāī hāta pani joḍdinã. Āphno ṭhāumā baschu; ma kasaiko aukāta dekhera śir jhukāunemā pardinã.</t>
  </si>
  <si>
    <t xml:space="preserve">Listen, Mother! When I think about life, I want to enjoy it; when I think about the future, I want to earn. I do not betray those who do good, nor do I bow before those who do wrong. I remain in my own place; I do not bow my head based on someone’s social status.</t>
  </si>
  <si>
    <t xml:space="preserve">Self-respect; integrity; ambition; future aspirations; social status; independence; morality.</t>
  </si>
  <si>
    <t xml:space="preserve">Personal expression|Moral statement</t>
  </si>
  <si>
    <t xml:space="preserve">Family|Economic</t>
  </si>
  <si>
    <t xml:space="preserve">Pride|Determination</t>
  </si>
  <si>
    <t xml:space="preserve">Mother|Status-holders</t>
  </si>
  <si>
    <t xml:space="preserve">औकात (status)|शिर झुकाउनु</t>
  </si>
  <si>
    <t xml:space="preserve">Explicit: future earning</t>
  </si>
  <si>
    <t xml:space="preserve">Resistance</t>
  </si>
  <si>
    <t xml:space="preserve">Independent self</t>
  </si>
  <si>
    <t xml:space="preserve">Earning, enjoying life</t>
  </si>
  <si>
    <t xml:space="preserve">Individual — agentic</t>
  </si>
  <si>
    <t xml:space="preserve">Parallelism</t>
  </si>
  <si>
    <t xml:space="preserve">Refusal to bow to others' status.</t>
  </si>
  <si>
    <t xml:space="preserve">कसैको औकात देखेर शिर झुकाउनेमा पर्दिनँ</t>
  </si>
  <si>
    <t xml:space="preserve">SELF_RESPECT|FAMILY|MONEY_MATERIALISM|CLASS_INEQUALITY_CRITIQUE|MORAL_ADVICE</t>
  </si>
  <si>
    <t xml:space="preserve">भोलि त सबको मिठो नै हुन्छ; समय आएपछि व्यवहारले असली रूप देखाउँछ।</t>
  </si>
  <si>
    <t xml:space="preserve">Bholi ta sabko miṭho nai hunchha; samaya āepachi byavahārle asalī rūpa dekhāũcha.</t>
  </si>
  <si>
    <t xml:space="preserve">Tomorrow may seem sweet for everyone; when the time comes, people’s behaviour reveals their true nature.</t>
  </si>
  <si>
    <t xml:space="preserve">Human character; patience; changing behaviour; trust; social relationships.</t>
  </si>
  <si>
    <t xml:space="preserve">Everyone's words are sweet; when the time comes, behaviour shows their real face.</t>
  </si>
  <si>
    <t xml:space="preserve">Moral / Human character</t>
  </si>
  <si>
    <t xml:space="preserve">Wariness</t>
  </si>
  <si>
    <t xml:space="preserve">People</t>
  </si>
  <si>
    <t xml:space="preserve">Contrast (words vs. behaviour)</t>
  </si>
  <si>
    <t xml:space="preserve">Distrust of speech; trust in conduct.</t>
  </si>
  <si>
    <t xml:space="preserve">व्यवहारले असली रूप देखाउँछ</t>
  </si>
  <si>
    <t xml:space="preserve">भोलि (tomorrow) is likely a mis-transcription of बोली (speech) — the common saying is 'बोली त सबको मिठो'. Check the source photo.</t>
  </si>
  <si>
    <t xml:space="preserve">DISTRUST_HYPOCRISY|MORAL_ADVICE</t>
  </si>
  <si>
    <t xml:space="preserve">ब्याट्री हो, ५३ वाटको; कच्चा नसम्झ। साहुजी हो, रिदम सञ्जाल; बच्चा नसम्झ।</t>
  </si>
  <si>
    <t xml:space="preserve">Byāṭrī ho, 53 wāṭko; kaccā nasamjha. Sāhujī ho, ridam sañjāl; baccā nasamjha.</t>
  </si>
  <si>
    <t xml:space="preserve">It is a 53-watt battery, so do not underestimate it. It is the owner of the rhythm network, so do not mistake it for a child.</t>
  </si>
  <si>
    <t xml:space="preserve">Self-confidence; status; technology; youth identity; vehicle culture; assertiveness.</t>
  </si>
  <si>
    <t xml:space="preserve">Self-assertion|Vehicle boast</t>
  </si>
  <si>
    <t xml:space="preserve">Owner/vehicle|Youth</t>
  </si>
  <si>
    <t xml:space="preserve">Boast</t>
  </si>
  <si>
    <t xml:space="preserve">Rhyme (कच्चा/बच्चा)</t>
  </si>
  <si>
    <t xml:space="preserve">Vehicle and owner as a status unit.</t>
  </si>
  <si>
    <t xml:space="preserve">कच्चा नसम्झ ... बच्चा नसम्झ</t>
  </si>
  <si>
    <t xml:space="preserve">'रिदम सञ्जाल' likely a business name; '५३ वाट' meaning unclear.</t>
  </si>
  <si>
    <t xml:space="preserve">DRIVER_IDENTITY|SELF_RESPECT|HUMOR</t>
  </si>
  <si>
    <t xml:space="preserve">अप्ठ्यारो छ भन्दैमा जीवन सकिएको नसोच्नुस्; यहाँ सुन्दर बिहानी आउन पनि ती अँध्यारा रात कटाउनुपर्छ।</t>
  </si>
  <si>
    <t xml:space="preserve">Apṭhyāro cha bhandaimā jīvan sakieko nasocnus; yahā̃ sundar bihānī āuna pani tī andhyārā rāta kaṭāunupardcha.</t>
  </si>
  <si>
    <t xml:space="preserve">Do not think that life is over simply because things are difficult; even a beautiful morning requires us to pass through the dark night.</t>
  </si>
  <si>
    <t xml:space="preserve">Hope; resilience; hardship; perseverance; optimism; life philosophy.</t>
  </si>
  <si>
    <t xml:space="preserve">Hope</t>
  </si>
  <si>
    <t xml:space="preserve">Metaphor (night / morning)</t>
  </si>
  <si>
    <t xml:space="preserve">Hardship as passage.</t>
  </si>
  <si>
    <t xml:space="preserve">ती अँध्यारा रात कटाउनुपर्छ</t>
  </si>
  <si>
    <t xml:space="preserve">शरीरले आराम खोजिरहेछ, परिवारले पैसा, दिमागले शान्ति।</t>
  </si>
  <si>
    <t xml:space="preserve">Śarīrle ārām khojirhecha, parivārle paisā, dimāgle śānti.</t>
  </si>
  <si>
    <t xml:space="preserve">The body seeks rest, the family seeks money, and the mind seeks peace.</t>
  </si>
  <si>
    <t xml:space="preserve">Work–life balance; economic pressure; family responsibility; mental peace; modern life.</t>
  </si>
  <si>
    <t xml:space="preserve">Economic / Wellbeing</t>
  </si>
  <si>
    <t xml:space="preserve">Family</t>
  </si>
  <si>
    <t xml:space="preserve">Exhaustion</t>
  </si>
  <si>
    <t xml:space="preserve">Explicit: family needs money</t>
  </si>
  <si>
    <t xml:space="preserve">Tricolon</t>
  </si>
  <si>
    <t xml:space="preserve">Three competing claims on one person.</t>
  </si>
  <si>
    <t xml:space="preserve">शरीरले आराम ... परिवारले पैसा, दिमागले शान्ति</t>
  </si>
  <si>
    <t xml:space="preserve">FAMILY|MONEY_MATERIALISM|LABOR_DIGNITY</t>
  </si>
  <si>
    <t xml:space="preserve">ढिला हुन्छ, तर सबै राम्रो हुन्छ। समय खराब हो, जिन्दगी हैन, साथी।</t>
  </si>
  <si>
    <t xml:space="preserve">Ḍhilā hunchha, tara sabai rāmrō hunchha. Samaya kharāb ho, jindagī haina, sāthī.</t>
  </si>
  <si>
    <t xml:space="preserve">It may take time, but everything will be fine. It is the time that is bad, not life itself, my friend.</t>
  </si>
  <si>
    <t xml:space="preserve">Hope; patience; resilience; hardship; optimism.</t>
  </si>
  <si>
    <t xml:space="preserve">Duplicate of #9.</t>
  </si>
  <si>
    <t xml:space="preserve">समय खराब हो, जिन्दगी हैन</t>
  </si>
  <si>
    <t xml:space="preserve">हेर्ने नजर र सोच्ने मन सफा हुनुपर्छ; दुनियाँले खराब छस् भन्दैमा केही फरक पर्दैन।</t>
  </si>
  <si>
    <t xml:space="preserve">Herne najar ra socne mana sapha hunupardcha; duniyā̃le kharāb chhas bhandaimā kehi pharak pardaina.</t>
  </si>
  <si>
    <t xml:space="preserve">Your way of seeing and your mind should be pure; it does not matter simply because the world says you are bad.</t>
  </si>
  <si>
    <t xml:space="preserve">Self-perception; social judgment; inner character; confidence; morality.</t>
  </si>
  <si>
    <t xml:space="preserve">Moral / Self</t>
  </si>
  <si>
    <t xml:space="preserve">Self-assurance</t>
  </si>
  <si>
    <t xml:space="preserve">Self|Society</t>
  </si>
  <si>
    <t xml:space="preserve">Contrast (inner / outer judgement)</t>
  </si>
  <si>
    <t xml:space="preserve">Inner purity over external judgement.</t>
  </si>
  <si>
    <t xml:space="preserve">दुनियाँले खराब छस् भन्दैमा केही फरक पर्दैन</t>
  </si>
  <si>
    <t xml:space="preserve">MORAL_ADVICE|SELF_RESPECT</t>
  </si>
  <si>
    <t xml:space="preserve">गाडी चलाउने भनेर नहेप; गोरु चढ्ने शिवजीले बाघ चढ्ने पार्वतीलाई पठाएको इतिहासमा छ।</t>
  </si>
  <si>
    <t xml:space="preserve">Gāḍī calāune bhanera nahepa; goru chaḍne Śivajīle bāgha chaḍne Pārvatīlāī paṭhāeko itihāsmā cha.</t>
  </si>
  <si>
    <t xml:space="preserve">Do not look down on someone because they drive a vehicle; history tells that Shiva, who rides a bull, sent Parvati, who rides a tiger.</t>
  </si>
  <si>
    <t xml:space="preserve">Dignity of occupation; social status; religious-cultural references; respect; class.</t>
  </si>
  <si>
    <t xml:space="preserve">Don't look down on someone because he drives; history shows bull-riding Shiva won over tiger-riding Parvati.</t>
  </si>
  <si>
    <t xml:space="preserve">Mythological analogy|Humor</t>
  </si>
  <si>
    <t xml:space="preserve">Religious-cultural</t>
  </si>
  <si>
    <t xml:space="preserve">Pride|Playful</t>
  </si>
  <si>
    <t xml:space="preserve">Those who look down on drivers</t>
  </si>
  <si>
    <t xml:space="preserve">Hindu mythology (Shiva, Parvati)</t>
  </si>
  <si>
    <t xml:space="preserve">Divine precedent</t>
  </si>
  <si>
    <t xml:space="preserve">Mythological analogy|Rhyme</t>
  </si>
  <si>
    <t xml:space="preserve">The lowly mount does not decide the worth (or romantic chances) of the rider.</t>
  </si>
  <si>
    <t xml:space="preserve">गोरु चढ्ने शिवजी ... बाघ चढ्ने पार्वती</t>
  </si>
  <si>
    <t xml:space="preserve">पठाएको ('sent') is probably a hypercorrection of slang पटाएको ('won over / wooed'); 'sent' makes the analogy meaningless.</t>
  </si>
  <si>
    <t xml:space="preserve">LABOR_DIGNITY|DRIVER_IDENTITY|RELIGION_FATE|HUMOR|LOVE_ROMANCE</t>
  </si>
  <si>
    <t xml:space="preserve">कसैको अगाडि झुकेर माग्नु छ भने आशीर्वाद माग्नु, माया होइन।</t>
  </si>
  <si>
    <t xml:space="preserve">Kasaiko agāḍi jhukera māgnu cha bhane āśīrbād māgnu, māyā hoina.</t>
  </si>
  <si>
    <t xml:space="preserve">If you must bow before someone and ask for something, ask for blessings, not love.</t>
  </si>
  <si>
    <t xml:space="preserve">Dignity; love; self-respect; relationships; cultural values; emotional independence.</t>
  </si>
  <si>
    <t xml:space="preserve">Dignity</t>
  </si>
  <si>
    <t xml:space="preserve">आशीर्वाद (blessing)</t>
  </si>
  <si>
    <t xml:space="preserve">Contrast (blessing / love)</t>
  </si>
  <si>
    <t xml:space="preserve">Begging is acceptable only for blessings.</t>
  </si>
  <si>
    <t xml:space="preserve">आशीर्वाद माग्नु, माया होइन</t>
  </si>
  <si>
    <t xml:space="preserve">SELF_RESPECT|LOVE_ROMANCE|MORAL_ADVICE</t>
  </si>
  <si>
    <t xml:space="preserve">पैसाको मुठै–मुठाले तँलाई हान्न मन छ; सुनको सिक्री नै सिक्रीले तँलाई बाँध्न मन छ। साथीहरूमा हल्का–फुल्का मजाक त भइहाल्छ; करोडौँको भीडमा तेरो कट्टु तान्न मन छ।</t>
  </si>
  <si>
    <t xml:space="preserve">Paisāko muṭhai-muṭhaile tãlāī hānna mana cha; sunko sikrī nai sikrīle tãlāī bā̃dhna mana cha. Sāthīharūmā halkā-phulkā majāk ta bhaīhālcha; karoḍaũko bhīḍmā tero kaṭṭu tānna mana cha.</t>
  </si>
  <si>
    <t xml:space="preserve">I feel like hitting you with bundles of money and binding you with chains of gold. Among friends, a little playful teasing is natural; in a crowd of millions, I feel like pulling your shorts.</t>
  </si>
  <si>
    <t xml:space="preserve">Friendship; humour; wealth; teasing; masculinity; popular youth culture.</t>
  </si>
  <si>
    <t xml:space="preserve">Humor|Teasing</t>
  </si>
  <si>
    <t xml:space="preserve">Friendship</t>
  </si>
  <si>
    <t xml:space="preserve">Affectionate mockery</t>
  </si>
  <si>
    <t xml:space="preserve">Friend</t>
  </si>
  <si>
    <t xml:space="preserve">Philia</t>
  </si>
  <si>
    <t xml:space="preserve">Homosocial teasing (inferred)</t>
  </si>
  <si>
    <t xml:space="preserve">Hyperbole and pranking</t>
  </si>
  <si>
    <t xml:space="preserve">Hyperbole|Intimate pronoun तँ</t>
  </si>
  <si>
    <t xml:space="preserve">Friendship expressed through mock aggression.</t>
  </si>
  <si>
    <t xml:space="preserve">साथीहरूमा हल्का–फुल्का मजाक</t>
  </si>
  <si>
    <t xml:space="preserve">HUMOR|MONEY_MATERIALISM|MASCULINITY</t>
  </si>
  <si>
    <t xml:space="preserve">gem</t>
  </si>
  <si>
    <t xml:space="preserve">Āmāko phāṭeko colā mātra nahera, bubāko phuṭeko kurkucchā pani herne gara. Duḥkha pardā āmāko ta jāne māitī hunchha; tara bubāko pīḍā kahā̃ gaera sunāune?</t>
  </si>
  <si>
    <t xml:space="preserve">Do not look only at the mother’s torn clothes; also notice the father’s cracked heels. When hardship comes, a mother has her maternal home to turn to, but where can a father go to share his pain?</t>
  </si>
  <si>
    <t xml:space="preserve">Parents; fatherhood; motherhood; hidden suffering; family responsibility; gender roles; emotional burden.</t>
  </si>
  <si>
    <t xml:space="preserve">Compassion|Pathos</t>
  </si>
  <si>
    <t xml:space="preserve">Father|Mother</t>
  </si>
  <si>
    <t xml:space="preserve">माइती (natal home)</t>
  </si>
  <si>
    <t xml:space="preserve">Mother has माइती; father has nowhere to share pain</t>
  </si>
  <si>
    <t xml:space="preserve">Fatherhood</t>
  </si>
  <si>
    <t xml:space="preserve">Synecdoche (torn blouse / cracked heels)</t>
  </si>
  <si>
    <t xml:space="preserve">Makes paternal suffering visible.</t>
  </si>
  <si>
    <t xml:space="preserve">बुबाको पीडा कहाँ गएर सुनाउने?</t>
  </si>
  <si>
    <t xml:space="preserve">Nepali text missing (cell reads 'gem'); reconstruct from transliteration and source photo.</t>
  </si>
  <si>
    <t xml:space="preserve">FAMILY|MASCULINITY</t>
  </si>
  <si>
    <t xml:space="preserve">अलपत्र छ जिन्दगी, गन्तव्य लामो छ। कतिबेला के हुन्छ, साथ दिनुहोस् है भगवान्।</t>
  </si>
  <si>
    <t xml:space="preserve">Alapatra cha jindagī, gantabya lāmo cha. Katibelā ke hunchha, sātha dinuhos hai Bhagavān.</t>
  </si>
  <si>
    <t xml:space="preserve">Life is uncertain and the destination is far away. Lord, please stay with me; who knows what may happen at any moment.</t>
  </si>
  <si>
    <t xml:space="preserve">Uncertainty of life; faith; spirituality; journey; hope; dependence on God</t>
  </si>
  <si>
    <t xml:space="preserve">Prayer</t>
  </si>
  <si>
    <t xml:space="preserve">Religious / Uncertainty</t>
  </si>
  <si>
    <t xml:space="preserve">Anxiety|Faith</t>
  </si>
  <si>
    <t xml:space="preserve">God</t>
  </si>
  <si>
    <t xml:space="preserve">Generic theistic (भगवान्)</t>
  </si>
  <si>
    <t xml:space="preserve">Journey metaphor</t>
  </si>
  <si>
    <t xml:space="preserve">The road as life; divine accompaniment against uncertainty.</t>
  </si>
  <si>
    <t xml:space="preserve">साथ दिनुहोस् है भगवान्</t>
  </si>
  <si>
    <t xml:space="preserve">RELIGION_FATE|MORTALITY_RISK|HOPE_RESILIENCE</t>
  </si>
  <si>
    <t xml:space="preserve">पढाइ बिग्रियो भनेर चिन्ता नगर, केटा हो। पढ्नेलाई हतार छ, नपढ्नेलाई साउदी–कतार छ।</t>
  </si>
  <si>
    <t xml:space="preserve">Paḍhāi bigriyo bhanera cintā nagara, keṭā ho. Paḍhnelāī hatār cha, napaḍhnelāī Saudī–Qatār cha.</t>
  </si>
  <si>
    <t xml:space="preserve">Do not worry just because your studies have not gone well, boys. Those who study are in a hurry to move ahead, while those who do not study have Saudi or Qatar as their destination.</t>
  </si>
  <si>
    <t xml:space="preserve">Education; youth; migration; foreign employment; social aspirations; economic pressure</t>
  </si>
  <si>
    <t xml:space="preserve">Humor|Social commentary</t>
  </si>
  <si>
    <t xml:space="preserve">Education / Migration</t>
  </si>
  <si>
    <t xml:space="preserve">Resigned humour</t>
  </si>
  <si>
    <t xml:space="preserve">Boys (केटा हो)</t>
  </si>
  <si>
    <t xml:space="preserve">Explicit: Gulf labour</t>
  </si>
  <si>
    <t xml:space="preserve">Addressed to boys</t>
  </si>
  <si>
    <t xml:space="preserve">Education vs. migration</t>
  </si>
  <si>
    <t xml:space="preserve">Deadpan reassurance</t>
  </si>
  <si>
    <t xml:space="preserve">Rhyme (हतार/कतार)</t>
  </si>
  <si>
    <t xml:space="preserve">Gulf migration as the fallback for failed schooling.</t>
  </si>
  <si>
    <t xml:space="preserve">नपढ्नेलाई साउदी–कतार छ</t>
  </si>
  <si>
    <t xml:space="preserve">EDUCATION|MIGRATION|HUMOR</t>
  </si>
  <si>
    <t xml:space="preserve">चुपचाप घन्टीछाप, सिलिन्डर हाफ, सुकुम्बासी टाप।</t>
  </si>
  <si>
    <t xml:space="preserve">Cupacāp ghaṇṭīchhāp, silinḍara hāpha, sukumbāsī ṭāpa.</t>
  </si>
  <si>
    <t xml:space="preserve">Quietly: bell symbol, half-cylinder, squatters’ stamp.</t>
  </si>
  <si>
    <t xml:space="preserve">Political symbolism; public satire; political slogans; social commentary; colloquial humour</t>
  </si>
  <si>
    <t xml:space="preserve">Quietly voted for the Bell — gas cylinder half, squatters gone.</t>
  </si>
  <si>
    <t xml:space="preserve">Political slogan parody</t>
  </si>
  <si>
    <t xml:space="preserve">Political</t>
  </si>
  <si>
    <t xml:space="preserve">Economic|Housing</t>
  </si>
  <si>
    <t xml:space="preserve">Sarcasm|Disillusionment</t>
  </si>
  <si>
    <t xml:space="preserve">Rastriya Swatantra Party / government</t>
  </si>
  <si>
    <t xml:space="preserve">Explicit party reference: 'चुपचाप घण्टी छाप' was RSP's 2026 campaign slogan; squatter evictions</t>
  </si>
  <si>
    <t xml:space="preserve">Slogan parody</t>
  </si>
  <si>
    <t xml:space="preserve">Parody|Rhyme (छाप/हाफ/टाप)</t>
  </si>
  <si>
    <t xml:space="preserve">Contrasts campaign promises with post-election outcomes (likely the 2026 squatter evictions).</t>
  </si>
  <si>
    <t xml:space="preserve">चुपचाप घन्टीछाप ... सुकुम्बासी टाप</t>
  </si>
  <si>
    <t xml:space="preserve">Could be read as supportive (a list of achievements) rather than satirical.</t>
  </si>
  <si>
    <t xml:space="preserve">'टाप' = gone/vanished, not 'stamp'; 'सिलिन्डर हाफ' unclear. Dates the inscription to 2026.</t>
  </si>
  <si>
    <t xml:space="preserve">INSTITUTION_CRITIQUE|HUMOR|CLASS_INEQUALITY_CRITIQUE</t>
  </si>
  <si>
    <t xml:space="preserve">कता हो नेताजी? संविधान त बन्यो क्यारे। गाउँमा फर्कने होइन? जनता त लाठी लिएर स्वागत गर्न बसेका छन्।</t>
  </si>
  <si>
    <t xml:space="preserve">Katā ho netājī? Saṁvidhāna ta banyo kyāre. Gāũmā farkane hoina? Janatā ta lāṭhī lie-ra svāgata garna basekā chan.</t>
  </si>
  <si>
    <t xml:space="preserve">Where are you, leader? The Constitution has apparently been made. Aren’t you coming back to the village? The people are waiting to welcome you with sticks.</t>
  </si>
  <si>
    <t xml:space="preserve">Political frustration; leadership; Constitution; rural–political relations; public dissatisfaction; satire</t>
  </si>
  <si>
    <t xml:space="preserve">Political satire</t>
  </si>
  <si>
    <t xml:space="preserve">Rural–urban</t>
  </si>
  <si>
    <t xml:space="preserve">Anger|Sarcasm</t>
  </si>
  <si>
    <t xml:space="preserve">Political leaders</t>
  </si>
  <si>
    <t xml:space="preserve">Explicit: leaders, Constitution</t>
  </si>
  <si>
    <t xml:space="preserve">Ironic 'welcome'</t>
  </si>
  <si>
    <t xml:space="preserve">Irony|Rhetorical questions</t>
  </si>
  <si>
    <t xml:space="preserve">The rural electorate's anger at absent leaders.</t>
  </si>
  <si>
    <t xml:space="preserve">लाठी लिएर स्वागत गर्न बसेका छन्</t>
  </si>
  <si>
    <t xml:space="preserve">INSTITUTION_CRITIQUE|HUMOR|PLACE_IDENTITY</t>
  </si>
  <si>
    <t xml:space="preserve">देश त पुरानै ठीक थियो।</t>
  </si>
  <si>
    <t xml:space="preserve">Deśa ta purānai ṭhīk thiyo.</t>
  </si>
  <si>
    <t xml:space="preserve">The country was better the way it was before.</t>
  </si>
  <si>
    <t xml:space="preserve">Political nostalgia; social change; dissatisfaction; national identity; public sentiment</t>
  </si>
  <si>
    <t xml:space="preserve">Slogan</t>
  </si>
  <si>
    <t xml:space="preserve">Nostalgia|Disillusionment</t>
  </si>
  <si>
    <t xml:space="preserve">Nation</t>
  </si>
  <si>
    <t xml:space="preserve">Explicit: dissatisfaction with change; referent of 'old' unspecified</t>
  </si>
  <si>
    <t xml:space="preserve">Ellipsis</t>
  </si>
  <si>
    <t xml:space="preserve">Political nostalgia without a stated object.</t>
  </si>
  <si>
    <t xml:space="preserve">देश त पुरानै ठीक थियो</t>
  </si>
  <si>
    <t xml:space="preserve">Could signal pro-monarchy sentiment or general disillusionment; text does not say which.</t>
  </si>
  <si>
    <t xml:space="preserve">Do not code as royalist without evidence.</t>
  </si>
  <si>
    <t xml:space="preserve">आमा, एकचोटि धेरै पैसा कमाउने मन छ। सुनेको छु, पैसा हुनेहरू सबैको प्यारो हुन्छन् रे।</t>
  </si>
  <si>
    <t xml:space="preserve">Āmā, ekacoṭi dherai paisā kamāune mana cha. Suneko chu, paisā huneharū sabaiko pyāro hunchan re.</t>
  </si>
  <si>
    <t xml:space="preserve">Mother, I want to earn a lot of money at least once. I have heard that people who have money are loved by everyone.</t>
  </si>
  <si>
    <t xml:space="preserve">Money and affection; materialism; family; economic aspiration; social status</t>
  </si>
  <si>
    <t xml:space="preserve">Economic aspiration</t>
  </si>
  <si>
    <t xml:space="preserve">Longing|Irony</t>
  </si>
  <si>
    <t xml:space="preserve">Explicit: earning a lot</t>
  </si>
  <si>
    <t xml:space="preserve">Wealth as route to being loved</t>
  </si>
  <si>
    <t xml:space="preserve">Hearsay marker रे (irony)</t>
  </si>
  <si>
    <t xml:space="preserve">Wealth desired for affection, not for itself.</t>
  </si>
  <si>
    <t xml:space="preserve">पैसा हुनेहरू सबैको प्यारो हुन्छन् रे</t>
  </si>
  <si>
    <t xml:space="preserve">MONEY_MATERIALISM|FAMILY</t>
  </si>
  <si>
    <t xml:space="preserve">आशा अनि विश्वास दुवै राखेको छु। भगवान्, अब पल्टिन लागेको पानामा सफल भविष्य लेखिएको होस्।</t>
  </si>
  <si>
    <t xml:space="preserve">Āśā ani viśvās dubai rākheko chu. Bhagavān, aba palṭina lāgeko pānāmā saphala bhaviṣya lekhi'eko hos.</t>
  </si>
  <si>
    <t xml:space="preserve">I have both hope and faith. May the page I am about to turn contain a successful future, Lord.</t>
  </si>
  <si>
    <t xml:space="preserve">Hope; faith; future; aspiration; spirituality; resilience</t>
  </si>
  <si>
    <t xml:space="preserve">Prayer|Encouragement</t>
  </si>
  <si>
    <t xml:space="preserve">Religious / Hope</t>
  </si>
  <si>
    <t xml:space="preserve">Hope|Faith</t>
  </si>
  <si>
    <t xml:space="preserve">Successful future</t>
  </si>
  <si>
    <t xml:space="preserve">Metaphor (turning page)</t>
  </si>
  <si>
    <t xml:space="preserve">Hope and faith paired.</t>
  </si>
  <si>
    <t xml:space="preserve">आशा अनि विश्वास दुवै</t>
  </si>
  <si>
    <t xml:space="preserve">RELIGION_FATE|HOPE_RESILIENCE</t>
  </si>
  <si>
    <t xml:space="preserve">मान्छे–मान्छे नै मान्छेको दबाइ हो। कसैले खुसी दिन्छन् भने कसैले पीडा, साथी।</t>
  </si>
  <si>
    <t xml:space="preserve">Mānche-mānche nai māncheko dabāi ho. Kasaile khusī dinchan bhane kasaile pīḍā, sāthī.</t>
  </si>
  <si>
    <t xml:space="preserve">People themselves are both the medicine and the pain of other people. Some bring happiness, while others bring suffering, my friend.</t>
  </si>
  <si>
    <t xml:space="preserve">Human relationships; happiness and suffering; friendship; emotional life; social interaction</t>
  </si>
  <si>
    <t xml:space="preserve">Reflective</t>
  </si>
  <si>
    <t xml:space="preserve">Metaphor (medicine)|Antithesis</t>
  </si>
  <si>
    <t xml:space="preserve">Other people as both cure and wound.</t>
  </si>
  <si>
    <t xml:space="preserve">मान्छे नै मान्छेको दबाइ हो</t>
  </si>
  <si>
    <t xml:space="preserve">केको घमण्ड? सेतो कात्रोका गोजी हुँदैनन्, मसानघाटमा रोजी हुँदैन। किन तछाडमछाड गर्छौ? मृत्यु पश्चात् खोजी हुँदैन। जीवन अजम्बरी हुँदैन, एकनास सधैँभरि हुँदैन। केको घमण्ड गर्छौ? यो झुटो संसार सधैँभरि हुँदैन।</t>
  </si>
  <si>
    <t xml:space="preserve">Keko ghamanḍa? Seto kātro-kā gojī hudainan, masānaghāṭmā rojī hudaina. Kina tachāḍmachāḍ garchau? Mṛtyu paścāt khojī hudaina. Jīvan ajambarī hudaina, ekanāsa sadhaĩbhari hudaina. Keko ghamanḍa garchau? Yo jhuṭo saṁsār sadhaĩbhari hudaina.</t>
  </si>
  <si>
    <t xml:space="preserve">What is there to be proud of? A white funeral shroud has no pockets, and there is no livelihood in the cremation ground. Why do you struggle so desperately for more? After death, no one searches for what you possessed. Life is not immortal, and nothing remains the same forever. Why be proud? This temporary world does not last forever.</t>
  </si>
  <si>
    <t xml:space="preserve">Mortality; humility; materialism; impermanence; wealth; death; human pride; philosophical reflection</t>
  </si>
  <si>
    <t xml:space="preserve">Philosophical reflection</t>
  </si>
  <si>
    <t xml:space="preserve">Existential / Mortality</t>
  </si>
  <si>
    <t xml:space="preserve">Humility|Melancholy</t>
  </si>
  <si>
    <t xml:space="preserve">The proud / everyone</t>
  </si>
  <si>
    <t xml:space="preserve">कात्रो (shroud)|मसानघाट (cremation ground)</t>
  </si>
  <si>
    <t xml:space="preserve">Explicit: futility of accumulation</t>
  </si>
  <si>
    <t xml:space="preserve">Rhetorical questions|Rhyme (हुँदैन)|Imagery</t>
  </si>
  <si>
    <t xml:space="preserve">Death erases wealth; pride is unjustified.</t>
  </si>
  <si>
    <t xml:space="preserve">सेतो कात्रोका गोजी हुँदैनन्</t>
  </si>
  <si>
    <t xml:space="preserve">MORTALITY_RISK|MONEY_MATERIALISM|MORAL_ADVICE</t>
  </si>
  <si>
    <t xml:space="preserve">Inscriptions</t>
  </si>
  <si>
    <t xml:space="preserve">% of corpus</t>
  </si>
  <si>
    <t xml:space="preserve">%</t>
  </si>
  <si>
    <t xml:space="preserve">Human review</t>
  </si>
  <si>
    <t xml:space="preserve">Flagged (Y)</t>
  </si>
  <si>
    <t xml:space="preserve">Number of inscriptions carrying both codes (diagonal = code total)</t>
  </si>
  <si>
    <t xml:space="preserve">Cluster (emergent)</t>
  </si>
  <si>
    <t xml:space="preserve">Member IDs</t>
  </si>
  <si>
    <t xml:space="preserve">Description</t>
  </si>
  <si>
    <t xml:space="preserve">Romantic loss and longing</t>
  </si>
  <si>
    <t xml:space="preserve">10,11,12,16,19,26,38,41</t>
  </si>
  <si>
    <t xml:space="preserve">Heartbreak, waiting and abandonment; often tied to a wealthier rival.</t>
  </si>
  <si>
    <t xml:space="preserve">Love and money</t>
  </si>
  <si>
    <t xml:space="preserve">3,11,12,20,23,58</t>
  </si>
  <si>
    <t xml:space="preserve">Affection measured against wealth, status goods or the fare.</t>
  </si>
  <si>
    <t xml:space="preserve">The fare and the driver's dignity</t>
  </si>
  <si>
    <t xml:space="preserve">1,17,20,21,23,36,40,49</t>
  </si>
  <si>
    <t xml:space="preserve">The occupation defended against stigma; the fare as moral flashpoint.</t>
  </si>
  <si>
    <t xml:space="preserve">Wealth, class and fair-weather kin</t>
  </si>
  <si>
    <t xml:space="preserve">3,28,30,31,42,58,61</t>
  </si>
  <si>
    <t xml:space="preserve">Money organizes kinship, respect and even death.</t>
  </si>
  <si>
    <t xml:space="preserve">Gulf migration as default exit</t>
  </si>
  <si>
    <t xml:space="preserve">10,14,24,54</t>
  </si>
  <si>
    <t xml:space="preserve">Qatar/Saudi as fallback for failed study or work.</t>
  </si>
  <si>
    <t xml:space="preserve">Masculine burden and display</t>
  </si>
  <si>
    <t xml:space="preserve">2,7,32,51,52</t>
  </si>
  <si>
    <t xml:space="preserve">Provider pressure, speed, manhood norms, hidden paternal suffering.</t>
  </si>
  <si>
    <t xml:space="preserve">Family and parents</t>
  </si>
  <si>
    <t xml:space="preserve">24,29,35,42,46,52,58</t>
  </si>
  <si>
    <t xml:space="preserve">Addresses to Āmā; filial responsibility; sons and fathers.</t>
  </si>
  <si>
    <t xml:space="preserve">Hope, patience, endurance</t>
  </si>
  <si>
    <t xml:space="preserve">9/47,20,23,26,29,45,53,59</t>
  </si>
  <si>
    <t xml:space="preserve">Hardship framed as temporary passage.</t>
  </si>
  <si>
    <t xml:space="preserve">Distrust of the world</t>
  </si>
  <si>
    <t xml:space="preserve">6,24,27,30,37,43</t>
  </si>
  <si>
    <t xml:space="preserve">Selfish world, two-faced people, jealous relatives, lying courts.</t>
  </si>
  <si>
    <t xml:space="preserve">Self-assertion and swagger</t>
  </si>
  <si>
    <t xml:space="preserve">18,22,34,42,44,48,50</t>
  </si>
  <si>
    <t xml:space="preserve">Refusal to bow; boasting; place-based pride.</t>
  </si>
  <si>
    <t xml:space="preserve">37,55,56,57</t>
  </si>
  <si>
    <t xml:space="preserve">Courts, politicians, campaign slogans, national nostalgia.</t>
  </si>
  <si>
    <t xml:space="preserve">Mortality and the road</t>
  </si>
  <si>
    <t xml:space="preserve">4,31,40,53,61</t>
  </si>
  <si>
    <t xml:space="preserve">Disaster, road risk, death erasing wealth.</t>
  </si>
  <si>
    <t xml:space="preserve">Karnali place-names</t>
  </si>
  <si>
    <t xml:space="preserve">15,25,34</t>
  </si>
  <si>
    <t xml:space="preserve">Mugu, Chaurjahari, Surkhet, Salyan — a regional sub-corpus.</t>
  </si>
  <si>
    <t xml:space="preserve">Youth humour and code-mixing</t>
  </si>
  <si>
    <t xml:space="preserve">5,13,18,20,51</t>
  </si>
  <si>
    <t xml:space="preserve">English/Hindi loans and slang as comic register.</t>
  </si>
  <si>
    <t xml:space="preserve">Priority</t>
  </si>
  <si>
    <t xml:space="preserve">Issue</t>
  </si>
  <si>
    <t xml:space="preserve">High — meaning changes</t>
  </si>
  <si>
    <t xml:space="preserve">Check</t>
  </si>
  <si>
    <t xml:space="preserve">Finding</t>
  </si>
  <si>
    <t xml:space="preserve">Rows</t>
  </si>
  <si>
    <t xml:space="preserve">Row count</t>
  </si>
  <si>
    <t xml:space="preserve">Filename says 52; the table has 61 entries plus one empty row.</t>
  </si>
  <si>
    <t xml:space="preserve">Missing text</t>
  </si>
  <si>
    <t xml:space="preserve">Nepali cell reads 'gem'.</t>
  </si>
  <si>
    <t xml:space="preserve">52</t>
  </si>
  <si>
    <t xml:space="preserve">Exact/near duplicates</t>
  </si>
  <si>
    <t xml:space="preserve">Identical except होइन/हैन.</t>
  </si>
  <si>
    <t xml:space="preserve">9, 47</t>
  </si>
  <si>
    <t xml:space="preserve">Template variants</t>
  </si>
  <si>
    <t xml:space="preserve">Same fare-and-love template; record as variants.</t>
  </si>
  <si>
    <t xml:space="preserve">20, 23</t>
  </si>
  <si>
    <t xml:space="preserve">Shared rhyme formula</t>
  </si>
  <si>
    <t xml:space="preserve">कतार/हतार used in both.</t>
  </si>
  <si>
    <t xml:space="preserve">14, 54</t>
  </si>
  <si>
    <t xml:space="preserve">Contaminated field</t>
  </si>
  <si>
    <t xml:space="preserve">Unrelated English line appended in bold to translation.</t>
  </si>
  <si>
    <t xml:space="preserve">13</t>
  </si>
  <si>
    <t xml:space="preserve">Transliteration error</t>
  </si>
  <si>
    <t xml:space="preserve">'-pardcha' for पर्छ (should be 'parcha').</t>
  </si>
  <si>
    <t xml:space="preserve">2, 17, 35, 45, 48</t>
  </si>
  <si>
    <t xml:space="preserve">Transliteration mismatch</t>
  </si>
  <si>
    <t xml:space="preserve">'goṭhāle' vs गोठालोले; 'restoran' vs रेस्टुरेन्ट.</t>
  </si>
  <si>
    <t xml:space="preserve">8, 12</t>
  </si>
  <si>
    <t xml:space="preserve">Probable transcription errors</t>
  </si>
  <si>
    <t xml:space="preserve">भोलि likely बोली; पठाएको likely पटाएको.</t>
  </si>
  <si>
    <t xml:space="preserve">43, 49</t>
  </si>
  <si>
    <t xml:space="preserve">Mistranslations</t>
  </si>
  <si>
    <t xml:space="preserve">See Human_Review (High priority).</t>
  </si>
  <si>
    <t xml:space="preserve">1, 5, 10, 11, 15, 55</t>
  </si>
  <si>
    <t xml:space="preserve">Theme column format</t>
  </si>
  <si>
    <t xml:space="preserve">Mix of commas and semicolons; some trailing periods. Normalize to '|' before NLP.</t>
  </si>
  <si>
    <t xml:space="preserve">All</t>
  </si>
  <si>
    <t xml:space="preserve">Context fields</t>
  </si>
  <si>
    <t xml:space="preserve">No vehicle type, location, date or photo reference for any row; all contextual coding marked unavailable.</t>
  </si>
  <si>
    <t xml:space="preserve">Escaped characters</t>
  </si>
  <si>
    <t xml:space="preserve">Markdown backslashes (\-, \!) removed in this workbook.</t>
  </si>
  <si>
    <t xml:space="preserve">4, 38, 42</t>
  </si>
  <si>
    <t xml:space="preserve">Theme</t>
  </si>
  <si>
    <t xml:space="preserve">Domain</t>
  </si>
  <si>
    <t xml:space="preserve">Any theme</t>
  </si>
  <si>
    <t xml:space="preserve">Tag assignments</t>
  </si>
  <si>
    <t xml:space="preserve">Cluster</t>
  </si>
  <si>
    <t xml:space="preserve">Members</t>
  </si>
  <si>
    <t xml:space="preserve">Chart source tables for the Dashboard sheet. All values are formulas; edit Master_Dataset (Codes / Valence / Confidence) and they update.</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</si>
</sst>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33">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404040"/>
      <name val="Arial"/>
      <family val="0"/>
      <charset val="1"/>
    </font>
    <font>
      <b val="true"/>
      <sz val="10"/>
      <color rgb="FFFFFFFF"/>
      <name val="Arial"/>
      <family val="0"/>
      <charset val="1"/>
    </font>
    <font>
      <b val="true"/>
      <sz val="22"/>
      <color rgb="FFFFFFFF"/>
      <name val="Arial"/>
      <family val="0"/>
      <charset val="1"/>
    </font>
    <font>
      <b val="true"/>
      <sz val="14"/>
      <color rgb="FFFFFFFF"/>
      <name val="Arial"/>
      <family val="0"/>
      <charset val="1"/>
    </font>
    <font>
      <sz val="9"/>
      <color rgb="FFFFFFFF"/>
      <name val="Arial"/>
      <family val="0"/>
      <charset val="1"/>
    </font>
    <font>
      <b val="true"/>
      <sz val="11"/>
      <color rgb="FF1F4E79"/>
      <name val="Arial"/>
      <family val="0"/>
      <charset val="1"/>
    </font>
    <font>
      <b val="true"/>
      <sz val="9"/>
      <color rgb="FF1F4E79"/>
      <name val="Arial"/>
      <family val="0"/>
      <charset val="1"/>
    </font>
    <font>
      <sz val="9"/>
      <name val="Arial"/>
      <family val="0"/>
      <charset val="1"/>
    </font>
    <font>
      <b val="true"/>
      <sz val="10"/>
      <name val="Arial"/>
      <family val="0"/>
      <charset val="1"/>
    </font>
    <font>
      <i val="true"/>
      <sz val="9"/>
      <color rgb="FF404040"/>
      <name val="Arial"/>
      <family val="0"/>
      <charset val="1"/>
    </font>
    <font>
      <b val="true"/>
      <sz val="8"/>
      <color rgb="FFFFFFFF"/>
      <name val="Arial"/>
      <family val="0"/>
      <charset val="1"/>
    </font>
    <font>
      <b val="true"/>
      <sz val="11"/>
      <color rgb="FFFFFFFF"/>
      <name val="Arial"/>
      <family val="0"/>
      <charset val="1"/>
    </font>
    <font>
      <b val="true"/>
      <sz val="10"/>
      <color rgb="FFC0504D"/>
      <name val="Arial"/>
      <family val="0"/>
      <charset val="1"/>
    </font>
    <font>
      <b val="true"/>
      <sz val="10"/>
      <color rgb="FFE0A030"/>
      <name val="Arial"/>
      <family val="0"/>
      <charset val="1"/>
    </font>
    <font>
      <sz val="11"/>
      <color rgb="FF262626"/>
      <name val="Arial"/>
      <family val="0"/>
      <charset val="1"/>
    </font>
    <font>
      <b val="true"/>
      <sz val="10"/>
      <color rgb="FF4F81BD"/>
      <name val="Arial"/>
      <family val="0"/>
      <charset val="1"/>
    </font>
    <font>
      <b val="true"/>
      <sz val="10"/>
      <color rgb="FF8064A2"/>
      <name val="Arial"/>
      <family val="0"/>
      <charset val="1"/>
    </font>
    <font>
      <b val="true"/>
      <sz val="10"/>
      <color rgb="FF2E8B57"/>
      <name val="Arial"/>
      <family val="0"/>
      <charset val="1"/>
    </font>
    <font>
      <b val="true"/>
      <sz val="10"/>
      <color rgb="FF7F7F7F"/>
      <name val="Arial"/>
      <family val="0"/>
      <charset val="1"/>
    </font>
    <font>
      <b val="true"/>
      <sz val="10"/>
      <color rgb="FF1F4E79"/>
      <name val="Arial"/>
      <family val="0"/>
      <charset val="1"/>
    </font>
    <font>
      <b val="true"/>
      <sz val="10"/>
      <color rgb="FFD2691E"/>
      <name val="Arial"/>
      <family val="0"/>
      <charset val="1"/>
    </font>
    <font>
      <i val="true"/>
      <sz val="9"/>
      <color rgb="FF7F7F7F"/>
      <name val="Arial"/>
      <family val="0"/>
      <charset val="1"/>
    </font>
    <font>
      <b val="true"/>
      <sz val="18"/>
      <color rgb="FF000000"/>
      <name val="Calibri"/>
      <family val="2"/>
    </font>
    <font>
      <sz val="10"/>
      <color rgb="FF000000"/>
      <name val="Calibri"/>
      <family val="2"/>
    </font>
    <font>
      <b val="true"/>
      <sz val="14"/>
      <name val="Arial"/>
      <family val="0"/>
      <charset val="1"/>
    </font>
    <font>
      <sz val="11"/>
      <name val="Arial"/>
      <family val="0"/>
      <charset val="1"/>
    </font>
    <font>
      <b val="true"/>
      <sz val="11"/>
      <name val="Arial"/>
      <family val="0"/>
      <charset val="1"/>
    </font>
    <font>
      <i val="true"/>
      <sz val="11"/>
      <name val="Arial"/>
      <family val="0"/>
      <charset val="1"/>
    </font>
  </fonts>
  <fills count="14">
    <fill>
      <patternFill patternType="none"/>
    </fill>
    <fill>
      <patternFill patternType="gray125"/>
    </fill>
    <fill>
      <patternFill patternType="solid">
        <fgColor rgb="FF1F4E79"/>
        <bgColor rgb="FF003366"/>
      </patternFill>
    </fill>
    <fill>
      <patternFill patternType="solid">
        <fgColor rgb="FFF4F6F9"/>
        <bgColor rgb="FFEEF2F7"/>
      </patternFill>
    </fill>
    <fill>
      <patternFill patternType="solid">
        <fgColor rgb="FF2E8B57"/>
        <bgColor rgb="FF008080"/>
      </patternFill>
    </fill>
    <fill>
      <patternFill patternType="solid">
        <fgColor rgb="FFC0504D"/>
        <bgColor rgb="FFD2691E"/>
      </patternFill>
    </fill>
    <fill>
      <patternFill patternType="solid">
        <fgColor rgb="FFE0A030"/>
        <bgColor rgb="FFFF8080"/>
      </patternFill>
    </fill>
    <fill>
      <patternFill patternType="solid">
        <fgColor rgb="FF4F81BD"/>
        <bgColor rgb="FF7F7F7F"/>
      </patternFill>
    </fill>
    <fill>
      <patternFill patternType="solid">
        <fgColor rgb="FF8064A2"/>
        <bgColor rgb="FF7F7F7F"/>
      </patternFill>
    </fill>
    <fill>
      <patternFill patternType="solid">
        <fgColor rgb="FFDCE6F1"/>
        <bgColor rgb="FFD9D9D9"/>
      </patternFill>
    </fill>
    <fill>
      <patternFill patternType="solid">
        <fgColor rgb="FFFFFFFF"/>
        <bgColor rgb="FFF4F6F9"/>
      </patternFill>
    </fill>
    <fill>
      <patternFill patternType="solid">
        <fgColor rgb="FFEEF2F7"/>
        <bgColor rgb="FFF4F6F9"/>
      </patternFill>
    </fill>
    <fill>
      <patternFill patternType="solid">
        <fgColor rgb="FF7F7F7F"/>
        <bgColor rgb="FF8064A2"/>
      </patternFill>
    </fill>
    <fill>
      <patternFill patternType="solid">
        <fgColor rgb="FFD2691E"/>
        <bgColor rgb="FFC0504D"/>
      </patternFill>
    </fill>
  </fills>
  <borders count="2">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true" applyAlignment="true" applyProtection="false">
      <alignment horizontal="center" vertical="center" textRotation="0" wrapText="true" indent="0" shrinkToFit="false"/>
      <protection locked="true" hidden="false"/>
    </xf>
    <xf numFmtId="164" fontId="6" fillId="8" borderId="0" xfId="0" applyFont="true" applyBorder="true" applyAlignment="true" applyProtection="false">
      <alignment horizontal="center" vertical="center" textRotation="0" wrapText="true" indent="0" shrinkToFit="false"/>
      <protection locked="true" hidden="false"/>
    </xf>
    <xf numFmtId="165" fontId="7" fillId="2" borderId="0" xfId="0" applyFont="true" applyBorder="true" applyAlignment="true" applyProtection="false">
      <alignment horizontal="center" vertical="center" textRotation="0" wrapText="true" indent="0" shrinkToFit="false"/>
      <protection locked="true" hidden="false"/>
    </xf>
    <xf numFmtId="165" fontId="7" fillId="4" borderId="0" xfId="0" applyFont="true" applyBorder="true" applyAlignment="true" applyProtection="false">
      <alignment horizontal="center" vertical="center" textRotation="0" wrapText="true" indent="0" shrinkToFit="false"/>
      <protection locked="true" hidden="false"/>
    </xf>
    <xf numFmtId="164" fontId="8" fillId="5" borderId="0" xfId="0" applyFont="true" applyBorder="true" applyAlignment="true" applyProtection="false">
      <alignment horizontal="center" vertical="center" textRotation="0" wrapText="true" indent="0" shrinkToFit="false"/>
      <protection locked="true" hidden="false"/>
    </xf>
    <xf numFmtId="166" fontId="7" fillId="6" borderId="0" xfId="0" applyFont="true" applyBorder="true" applyAlignment="true" applyProtection="false">
      <alignment horizontal="center" vertical="center" textRotation="0" wrapText="true" indent="0" shrinkToFit="false"/>
      <protection locked="true" hidden="false"/>
    </xf>
    <xf numFmtId="166" fontId="7" fillId="7" borderId="0" xfId="0" applyFont="true" applyBorder="true" applyAlignment="true" applyProtection="false">
      <alignment horizontal="center" vertical="center" textRotation="0" wrapText="true" indent="0" shrinkToFit="false"/>
      <protection locked="true" hidden="false"/>
    </xf>
    <xf numFmtId="165" fontId="7" fillId="8"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true" applyAlignment="true" applyProtection="false">
      <alignment horizontal="center" vertical="center" textRotation="0" wrapText="true" indent="0" shrinkToFit="false"/>
      <protection locked="true" hidden="false"/>
    </xf>
    <xf numFmtId="164" fontId="9" fillId="6" borderId="0" xfId="0" applyFont="true" applyBorder="true" applyAlignment="true" applyProtection="false">
      <alignment horizontal="center" vertical="center" textRotation="0" wrapText="true" indent="0" shrinkToFit="false"/>
      <protection locked="true" hidden="false"/>
    </xf>
    <xf numFmtId="164" fontId="9" fillId="7" borderId="0" xfId="0" applyFont="true" applyBorder="true" applyAlignment="true" applyProtection="false">
      <alignment horizontal="center" vertical="center" textRotation="0" wrapText="true" indent="0" shrinkToFit="false"/>
      <protection locked="true" hidden="false"/>
    </xf>
    <xf numFmtId="164" fontId="9" fillId="8"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general" vertical="center" textRotation="0" wrapText="false" indent="0" shrinkToFit="false"/>
      <protection locked="true" hidden="false"/>
    </xf>
    <xf numFmtId="164" fontId="11" fillId="9" borderId="0" xfId="0" applyFont="true" applyBorder="true" applyAlignment="true" applyProtection="false">
      <alignment horizontal="center" vertical="center" textRotation="0" wrapText="true" indent="0" shrinkToFit="false"/>
      <protection locked="true" hidden="false"/>
    </xf>
    <xf numFmtId="164" fontId="12" fillId="10" borderId="0" xfId="0" applyFont="true" applyBorder="true" applyAlignment="true" applyProtection="false">
      <alignment horizontal="center" vertical="center" textRotation="0" wrapText="true" indent="0" shrinkToFit="false"/>
      <protection locked="true" hidden="false"/>
    </xf>
    <xf numFmtId="165" fontId="13" fillId="10" borderId="0" xfId="0" applyFont="true" applyBorder="true" applyAlignment="true" applyProtection="false">
      <alignment horizontal="center" vertical="center" textRotation="0" wrapText="true" indent="0" shrinkToFit="false"/>
      <protection locked="true" hidden="false"/>
    </xf>
    <xf numFmtId="164" fontId="12" fillId="11" borderId="0" xfId="0" applyFont="true" applyBorder="true" applyAlignment="true" applyProtection="false">
      <alignment horizontal="center" vertical="center" textRotation="0" wrapText="true" indent="0" shrinkToFit="false"/>
      <protection locked="true" hidden="false"/>
    </xf>
    <xf numFmtId="165" fontId="13" fillId="11" borderId="0"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14" fillId="3" borderId="0" xfId="0" applyFont="true" applyBorder="true" applyAlignment="true" applyProtection="false">
      <alignment horizontal="center" vertical="center" textRotation="0" wrapText="true" indent="0" shrinkToFit="false"/>
      <protection locked="true" hidden="false"/>
    </xf>
    <xf numFmtId="164" fontId="15" fillId="5" borderId="0" xfId="0" applyFont="true" applyBorder="true" applyAlignment="true" applyProtection="false">
      <alignment horizontal="center" vertical="center" textRotation="0" wrapText="true" indent="0" shrinkToFit="false"/>
      <protection locked="true" hidden="false"/>
    </xf>
    <xf numFmtId="164" fontId="15" fillId="6" borderId="0" xfId="0" applyFont="true" applyBorder="true" applyAlignment="true" applyProtection="false">
      <alignment horizontal="center" vertical="center" textRotation="0" wrapText="true" indent="0" shrinkToFit="false"/>
      <protection locked="true" hidden="false"/>
    </xf>
    <xf numFmtId="164" fontId="15" fillId="7" borderId="0" xfId="0" applyFont="true" applyBorder="true" applyAlignment="true" applyProtection="false">
      <alignment horizontal="center" vertical="center" textRotation="0" wrapText="true" indent="0" shrinkToFit="false"/>
      <protection locked="true" hidden="false"/>
    </xf>
    <xf numFmtId="164" fontId="15" fillId="8" borderId="0" xfId="0" applyFont="true" applyBorder="true" applyAlignment="true" applyProtection="false">
      <alignment horizontal="center"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15" fillId="12" borderId="0" xfId="0" applyFont="true" applyBorder="true" applyAlignment="true" applyProtection="false">
      <alignment horizontal="center"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5" fillId="13" borderId="0"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8" fillId="10" borderId="1" xfId="0" applyFont="true" applyBorder="true" applyAlignment="true" applyProtection="false">
      <alignment horizontal="center" vertical="center" textRotation="0" wrapText="true" indent="0" shrinkToFit="false"/>
      <protection locked="true" hidden="false"/>
    </xf>
    <xf numFmtId="164" fontId="19" fillId="10"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21" fillId="10"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22" fillId="10"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64" fontId="23" fillId="10" borderId="1" xfId="0" applyFont="true" applyBorder="true" applyAlignment="true" applyProtection="false">
      <alignment horizontal="center" vertical="center" textRotation="0" wrapText="true" indent="0" shrinkToFit="false"/>
      <protection locked="true" hidden="false"/>
    </xf>
    <xf numFmtId="164" fontId="24" fillId="10"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25" fillId="10" borderId="1" xfId="0" applyFont="true" applyBorder="true" applyAlignment="true" applyProtection="false">
      <alignment horizontal="center" vertical="center" textRotation="0" wrapText="true" indent="0" shrinkToFit="false"/>
      <protection locked="true" hidden="false"/>
    </xf>
    <xf numFmtId="164" fontId="26" fillId="3"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16" fillId="2" borderId="0" xfId="0" applyFont="true" applyBorder="fals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right" vertical="bottom" textRotation="90" wrapText="false" indent="0" shrinkToFit="false"/>
      <protection locked="true" hidden="false"/>
    </xf>
    <xf numFmtId="165" fontId="30" fillId="0"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7F7F7F"/>
      <rgbColor rgb="FF9999FF"/>
      <rgbColor rgb="FFC0504D"/>
      <rgbColor rgb="FFF4F6F9"/>
      <rgbColor rgb="FFEEF2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1"/>
      <rgbColor rgb="FFCCFFCC"/>
      <rgbColor rgb="FFFFFF99"/>
      <rgbColor rgb="FF99CCFF"/>
      <rgbColor rgb="FFFF99CC"/>
      <rgbColor rgb="FFCC99FF"/>
      <rgbColor rgb="FFFFCC99"/>
      <rgbColor rgb="FF4F81BD"/>
      <rgbColor rgb="FF33CCCC"/>
      <rgbColor rgb="FF99CC00"/>
      <rgbColor rgb="FFFFCC00"/>
      <rgbColor rgb="FFE0A030"/>
      <rgbColor rgb="FFD2691E"/>
      <rgbColor rgb="FF8064A2"/>
      <rgbColor rgb="FFA6A6A6"/>
      <rgbColor rgb="FF003366"/>
      <rgbColor rgb="FF2E8B57"/>
      <rgbColor rgb="FF003300"/>
      <rgbColor rgb="FF404040"/>
      <rgbColor rgb="FF993300"/>
      <rgbColor rgb="FF993366"/>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How often each theme appears (inscriptions)</a:t>
            </a:r>
          </a:p>
        </c:rich>
      </c:tx>
      <c:overlay val="0"/>
      <c:spPr>
        <a:noFill/>
        <a:ln w="0">
          <a:noFill/>
        </a:ln>
      </c:spPr>
    </c:title>
    <c:autoTitleDeleted val="0"/>
    <c:plotArea>
      <c:barChart>
        <c:barDir val="bar"/>
        <c:grouping val="clustered"/>
        <c:varyColors val="0"/>
        <c:ser>
          <c:idx val="0"/>
          <c:order val="0"/>
          <c:tx>
            <c:strRef>
              <c:f>Dashboard_Data!C1</c:f>
              <c:strCache>
                <c:ptCount val="1"/>
                <c:pt idx="0">
                  <c:v>Inscriptions</c:v>
                </c:pt>
              </c:strCache>
            </c:strRef>
          </c:tx>
          <c:spPr>
            <a:solidFill>
              <a:srgbClr val="1f4e79"/>
            </a:solidFill>
            <a:ln w="0">
              <a:solidFill>
                <a:srgbClr val="000000"/>
              </a:solidFill>
            </a:ln>
          </c:spPr>
          <c:invertIfNegative val="0"/>
          <c:dPt>
            <c:idx val="0"/>
            <c:invertIfNegative val="0"/>
            <c:spPr>
              <a:solidFill>
                <a:srgbClr val="e0a030"/>
              </a:solidFill>
              <a:ln w="0">
                <a:solidFill>
                  <a:srgbClr val="000000"/>
                </a:solidFill>
              </a:ln>
            </c:spPr>
          </c:dPt>
          <c:dPt>
            <c:idx val="1"/>
            <c:invertIfNegative val="0"/>
            <c:spPr>
              <a:solidFill>
                <a:srgbClr val="e0a030"/>
              </a:solidFill>
              <a:ln w="0">
                <a:solidFill>
                  <a:srgbClr val="000000"/>
                </a:solidFill>
              </a:ln>
            </c:spPr>
          </c:dPt>
          <c:dPt>
            <c:idx val="2"/>
            <c:invertIfNegative val="0"/>
            <c:spPr>
              <a:solidFill>
                <a:srgbClr val="e0a030"/>
              </a:solidFill>
              <a:ln w="0">
                <a:solidFill>
                  <a:srgbClr val="000000"/>
                </a:solidFill>
              </a:ln>
            </c:spPr>
          </c:dPt>
          <c:dPt>
            <c:idx val="3"/>
            <c:invertIfNegative val="0"/>
            <c:spPr>
              <a:solidFill>
                <a:srgbClr val="4f81bd"/>
              </a:solidFill>
              <a:ln w="0">
                <a:solidFill>
                  <a:srgbClr val="000000"/>
                </a:solidFill>
              </a:ln>
            </c:spPr>
          </c:dPt>
          <c:dPt>
            <c:idx val="4"/>
            <c:invertIfNegative val="0"/>
            <c:spPr>
              <a:solidFill>
                <a:srgbClr val="8064a2"/>
              </a:solidFill>
              <a:ln w="0">
                <a:solidFill>
                  <a:srgbClr val="000000"/>
                </a:solidFill>
              </a:ln>
            </c:spPr>
          </c:dPt>
          <c:dPt>
            <c:idx val="5"/>
            <c:invertIfNegative val="0"/>
            <c:spPr>
              <a:solidFill>
                <a:srgbClr val="7f7f7f"/>
              </a:solidFill>
              <a:ln w="0">
                <a:solidFill>
                  <a:srgbClr val="000000"/>
                </a:solidFill>
              </a:ln>
            </c:spPr>
          </c:dPt>
          <c:dPt>
            <c:idx val="6"/>
            <c:invertIfNegative val="0"/>
            <c:spPr>
              <a:solidFill>
                <a:srgbClr val="1f4e79"/>
              </a:solidFill>
              <a:ln w="0">
                <a:solidFill>
                  <a:srgbClr val="000000"/>
                </a:solidFill>
              </a:ln>
            </c:spPr>
          </c:dPt>
          <c:dPt>
            <c:idx val="7"/>
            <c:invertIfNegative val="0"/>
            <c:spPr>
              <a:solidFill>
                <a:srgbClr val="1f4e79"/>
              </a:solidFill>
              <a:ln w="0">
                <a:solidFill>
                  <a:srgbClr val="000000"/>
                </a:solidFill>
              </a:ln>
            </c:spPr>
          </c:dPt>
          <c:dPt>
            <c:idx val="8"/>
            <c:invertIfNegative val="0"/>
            <c:spPr>
              <a:solidFill>
                <a:srgbClr val="d2691e"/>
              </a:solidFill>
              <a:ln w="0">
                <a:solidFill>
                  <a:srgbClr val="000000"/>
                </a:solidFill>
              </a:ln>
            </c:spPr>
          </c:dPt>
          <c:dPt>
            <c:idx val="9"/>
            <c:invertIfNegative val="0"/>
            <c:spPr>
              <a:solidFill>
                <a:srgbClr val="8064a2"/>
              </a:solidFill>
              <a:ln w="0">
                <a:solidFill>
                  <a:srgbClr val="000000"/>
                </a:solidFill>
              </a:ln>
            </c:spPr>
          </c:dPt>
          <c:dPt>
            <c:idx val="10"/>
            <c:invertIfNegative val="0"/>
            <c:spPr>
              <a:solidFill>
                <a:srgbClr val="7f7f7f"/>
              </a:solidFill>
              <a:ln w="0">
                <a:solidFill>
                  <a:srgbClr val="000000"/>
                </a:solidFill>
              </a:ln>
            </c:spPr>
          </c:dPt>
          <c:dPt>
            <c:idx val="11"/>
            <c:invertIfNegative val="0"/>
            <c:spPr>
              <a:solidFill>
                <a:srgbClr val="e0a030"/>
              </a:solidFill>
              <a:ln w="0">
                <a:solidFill>
                  <a:srgbClr val="000000"/>
                </a:solidFill>
              </a:ln>
            </c:spPr>
          </c:dPt>
          <c:dPt>
            <c:idx val="12"/>
            <c:invertIfNegative val="0"/>
            <c:spPr>
              <a:solidFill>
                <a:srgbClr val="2e8b57"/>
              </a:solidFill>
              <a:ln w="0">
                <a:solidFill>
                  <a:srgbClr val="000000"/>
                </a:solidFill>
              </a:ln>
            </c:spPr>
          </c:dPt>
          <c:dPt>
            <c:idx val="13"/>
            <c:invertIfNegative val="0"/>
            <c:spPr>
              <a:solidFill>
                <a:srgbClr val="c0504d"/>
              </a:solidFill>
              <a:ln w="0">
                <a:solidFill>
                  <a:srgbClr val="000000"/>
                </a:solidFill>
              </a:ln>
            </c:spPr>
          </c:dPt>
          <c:dPt>
            <c:idx val="14"/>
            <c:invertIfNegative val="0"/>
            <c:spPr>
              <a:solidFill>
                <a:srgbClr val="4f81bd"/>
              </a:solidFill>
              <a:ln w="0">
                <a:solidFill>
                  <a:srgbClr val="000000"/>
                </a:solidFill>
              </a:ln>
            </c:spPr>
          </c:dPt>
          <c:dPt>
            <c:idx val="15"/>
            <c:invertIfNegative val="0"/>
            <c:spPr>
              <a:solidFill>
                <a:srgbClr val="4f81bd"/>
              </a:solidFill>
              <a:ln w="0">
                <a:solidFill>
                  <a:srgbClr val="000000"/>
                </a:solidFill>
              </a:ln>
            </c:spPr>
          </c:dPt>
          <c:dPt>
            <c:idx val="16"/>
            <c:invertIfNegative val="0"/>
            <c:spPr>
              <a:solidFill>
                <a:srgbClr val="c0504d"/>
              </a:solidFill>
              <a:ln w="0">
                <a:solidFill>
                  <a:srgbClr val="000000"/>
                </a:solidFill>
              </a:ln>
            </c:spPr>
          </c:dPt>
          <c:dPt>
            <c:idx val="17"/>
            <c:invertIfNegative val="0"/>
            <c:spPr>
              <a:solidFill>
                <a:srgbClr val="2e8b57"/>
              </a:solidFill>
              <a:ln w="0">
                <a:solidFill>
                  <a:srgbClr val="000000"/>
                </a:solidFill>
              </a:ln>
            </c:spPr>
          </c:dPt>
          <c:dPt>
            <c:idx val="18"/>
            <c:invertIfNegative val="0"/>
            <c:spPr>
              <a:solidFill>
                <a:srgbClr val="2e8b57"/>
              </a:solidFill>
              <a:ln w="0">
                <a:solidFill>
                  <a:srgbClr val="000000"/>
                </a:solidFill>
              </a:ln>
            </c:spPr>
          </c:dPt>
          <c:dPt>
            <c:idx val="19"/>
            <c:invertIfNegative val="0"/>
            <c:spPr>
              <a:solidFill>
                <a:srgbClr val="e0a030"/>
              </a:solidFill>
              <a:ln w="0">
                <a:solidFill>
                  <a:srgbClr val="000000"/>
                </a:solidFill>
              </a:ln>
            </c:spPr>
          </c:dPt>
          <c:dPt>
            <c:idx val="20"/>
            <c:invertIfNegative val="0"/>
            <c:spPr>
              <a:solidFill>
                <a:srgbClr val="2e8b57"/>
              </a:solidFill>
              <a:ln w="0">
                <a:solidFill>
                  <a:srgbClr val="000000"/>
                </a:solidFill>
              </a:ln>
            </c:spPr>
          </c:dPt>
          <c:dPt>
            <c:idx val="21"/>
            <c:invertIfNegative val="0"/>
            <c:spPr>
              <a:solidFill>
                <a:srgbClr val="d2691e"/>
              </a:solidFill>
              <a:ln w="0">
                <a:solidFill>
                  <a:srgbClr val="000000"/>
                </a:solidFill>
              </a:ln>
            </c:spPr>
          </c:dPt>
          <c:dPt>
            <c:idx val="22"/>
            <c:invertIfNegative val="0"/>
            <c:spPr>
              <a:solidFill>
                <a:srgbClr val="c0504d"/>
              </a:solidFill>
              <a:ln w="0">
                <a:solidFill>
                  <a:srgbClr val="000000"/>
                </a:solidFill>
              </a:ln>
            </c:spPr>
          </c:dPt>
          <c:dLbls>
            <c:dLbl>
              <c:idx val="0"/>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4"/>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5"/>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6"/>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7"/>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8"/>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9"/>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0"/>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2"/>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3"/>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4"/>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5"/>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6"/>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7"/>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8"/>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9"/>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0"/>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2"/>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Dashboard_Data!$A$2:$A$24</c:f>
              <c:strCache>
                <c:ptCount val="23"/>
                <c:pt idx="0">
                  <c:v>Education</c:v>
                </c:pt>
                <c:pt idx="1">
                  <c:v>Status Goods</c:v>
                </c:pt>
                <c:pt idx="2">
                  <c:v>Gulf Migration</c:v>
                </c:pt>
                <c:pt idx="3">
                  <c:v>The Fare</c:v>
                </c:pt>
                <c:pt idx="4">
                  <c:v>Women Represented</c:v>
                </c:pt>
                <c:pt idx="5">
                  <c:v>Faith &amp; Mythology</c:v>
                </c:pt>
                <c:pt idx="6">
                  <c:v>Politics &amp; Institutions</c:v>
                </c:pt>
                <c:pt idx="7">
                  <c:v>Place &amp; Region</c:v>
                </c:pt>
                <c:pt idx="8">
                  <c:v>Slang &amp; Code-mixing</c:v>
                </c:pt>
                <c:pt idx="9">
                  <c:v>Masculinity</c:v>
                </c:pt>
                <c:pt idx="10">
                  <c:v>Death &amp; Risk</c:v>
                </c:pt>
                <c:pt idx="11">
                  <c:v>Class &amp; Inequality</c:v>
                </c:pt>
                <c:pt idx="12">
                  <c:v>Distrust &amp; Hypocrisy</c:v>
                </c:pt>
                <c:pt idx="13">
                  <c:v>Heartbreak &amp; Separation</c:v>
                </c:pt>
                <c:pt idx="14">
                  <c:v>Driver's Voice</c:v>
                </c:pt>
                <c:pt idx="15">
                  <c:v>Dignity of Labour</c:v>
                </c:pt>
                <c:pt idx="16">
                  <c:v>Family &amp; Parents</c:v>
                </c:pt>
                <c:pt idx="17">
                  <c:v>Self-Respect &amp; Swagger</c:v>
                </c:pt>
                <c:pt idx="18">
                  <c:v>Hope &amp; Resilience</c:v>
                </c:pt>
                <c:pt idx="19">
                  <c:v>Money &amp; Wealth</c:v>
                </c:pt>
                <c:pt idx="20">
                  <c:v>Moral Advice</c:v>
                </c:pt>
                <c:pt idx="21">
                  <c:v>Humour &amp; Satire</c:v>
                </c:pt>
                <c:pt idx="22">
                  <c:v>Love &amp; Romance</c:v>
                </c:pt>
              </c:strCache>
            </c:strRef>
          </c:cat>
          <c:val>
            <c:numRef>
              <c:f>Dashboard_Data!$C$2:$C$24</c:f>
              <c:numCache>
                <c:formatCode>General</c:formatCode>
                <c:ptCount val="23"/>
                <c:pt idx="0">
                  <c:v>1</c:v>
                </c:pt>
                <c:pt idx="1">
                  <c:v>2</c:v>
                </c:pt>
                <c:pt idx="2">
                  <c:v>4</c:v>
                </c:pt>
                <c:pt idx="3">
                  <c:v>4</c:v>
                </c:pt>
                <c:pt idx="4">
                  <c:v>4</c:v>
                </c:pt>
                <c:pt idx="5">
                  <c:v>4</c:v>
                </c:pt>
                <c:pt idx="6">
                  <c:v>4</c:v>
                </c:pt>
                <c:pt idx="7">
                  <c:v>4</c:v>
                </c:pt>
                <c:pt idx="8">
                  <c:v>4</c:v>
                </c:pt>
                <c:pt idx="9">
                  <c:v>5</c:v>
                </c:pt>
                <c:pt idx="10">
                  <c:v>5</c:v>
                </c:pt>
                <c:pt idx="11">
                  <c:v>7</c:v>
                </c:pt>
                <c:pt idx="12">
                  <c:v>7</c:v>
                </c:pt>
                <c:pt idx="13">
                  <c:v>8</c:v>
                </c:pt>
                <c:pt idx="14">
                  <c:v>8</c:v>
                </c:pt>
                <c:pt idx="15">
                  <c:v>8</c:v>
                </c:pt>
                <c:pt idx="16">
                  <c:v>9</c:v>
                </c:pt>
                <c:pt idx="17">
                  <c:v>10</c:v>
                </c:pt>
                <c:pt idx="18">
                  <c:v>10</c:v>
                </c:pt>
                <c:pt idx="19">
                  <c:v>11</c:v>
                </c:pt>
                <c:pt idx="20">
                  <c:v>11</c:v>
                </c:pt>
                <c:pt idx="21">
                  <c:v>17</c:v>
                </c:pt>
                <c:pt idx="22">
                  <c:v>18</c:v>
                </c:pt>
              </c:numCache>
            </c:numRef>
          </c:val>
        </c:ser>
        <c:gapWidth val="40"/>
        <c:overlap val="0"/>
        <c:axId val="7159113"/>
        <c:axId val="81329050"/>
      </c:barChart>
      <c:catAx>
        <c:axId val="715911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1329050"/>
        <c:crosses val="autoZero"/>
        <c:auto val="1"/>
        <c:lblAlgn val="ctr"/>
        <c:lblOffset val="100"/>
        <c:noMultiLvlLbl val="0"/>
      </c:catAx>
      <c:valAx>
        <c:axId val="81329050"/>
        <c:scaling>
          <c:orientation val="minMax"/>
        </c:scaling>
        <c:delete val="1"/>
        <c:axPos val="l"/>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159113"/>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Emotional valence</a:t>
            </a:r>
          </a:p>
        </c:rich>
      </c:tx>
      <c:overlay val="0"/>
      <c:spPr>
        <a:noFill/>
        <a:ln w="0">
          <a:noFill/>
        </a:ln>
      </c:spPr>
    </c:title>
    <c:autoTitleDeleted val="0"/>
    <c:plotArea>
      <c:doughnutChart>
        <c:varyColors val="1"/>
        <c:ser>
          <c:idx val="0"/>
          <c:order val="0"/>
          <c:tx>
            <c:strRef>
              <c:f>Dashboard_Data!F1</c:f>
              <c:strCache>
                <c:ptCount val="1"/>
                <c:pt idx="0">
                  <c:v>Count</c:v>
                </c:pt>
              </c:strCache>
            </c:strRef>
          </c:tx>
          <c:spPr>
            <a:solidFill>
              <a:srgbClr val="4f81bd"/>
            </a:solidFill>
            <a:ln w="0">
              <a:solidFill>
                <a:srgbClr val="000000"/>
              </a:solidFill>
            </a:ln>
          </c:spPr>
          <c:explosion val="0"/>
          <c:dPt>
            <c:idx val="0"/>
            <c:spPr>
              <a:solidFill>
                <a:srgbClr val="e0a030"/>
              </a:solidFill>
              <a:ln w="0">
                <a:solidFill>
                  <a:srgbClr val="000000"/>
                </a:solidFill>
              </a:ln>
            </c:spPr>
          </c:dPt>
          <c:dPt>
            <c:idx val="1"/>
            <c:spPr>
              <a:solidFill>
                <a:srgbClr val="c0504d"/>
              </a:solidFill>
              <a:ln w="0">
                <a:solidFill>
                  <a:srgbClr val="000000"/>
                </a:solidFill>
              </a:ln>
            </c:spPr>
          </c:dPt>
          <c:dPt>
            <c:idx val="2"/>
            <c:spPr>
              <a:solidFill>
                <a:srgbClr val="2e8b57"/>
              </a:solidFill>
              <a:ln w="0">
                <a:solidFill>
                  <a:srgbClr val="000000"/>
                </a:solidFill>
              </a:ln>
            </c:spPr>
          </c:dPt>
          <c:dPt>
            <c:idx val="3"/>
            <c:spPr>
              <a:solidFill>
                <a:srgbClr val="a6a6a6"/>
              </a:solidFill>
              <a:ln w="0">
                <a:solidFill>
                  <a:srgbClr val="000000"/>
                </a:solidFill>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1"/>
            <c:separator>
</c:separator>
            <c:showLeaderLines val="0"/>
          </c:dLbls>
          <c:cat>
            <c:strRef>
              <c:f>Dashboard_Data!$E$2:$E$5</c:f>
              <c:strCache>
                <c:ptCount val="4"/>
                <c:pt idx="0">
                  <c:v>Mixed</c:v>
                </c:pt>
                <c:pt idx="1">
                  <c:v>Negative</c:v>
                </c:pt>
                <c:pt idx="2">
                  <c:v>Positive</c:v>
                </c:pt>
                <c:pt idx="3">
                  <c:v>Neutral</c:v>
                </c:pt>
              </c:strCache>
            </c:strRef>
          </c:cat>
          <c:val>
            <c:numRef>
              <c:f>Dashboard_Data!$F$2:$F$5</c:f>
              <c:numCache>
                <c:formatCode>General</c:formatCode>
                <c:ptCount val="4"/>
                <c:pt idx="0">
                  <c:v>25</c:v>
                </c:pt>
                <c:pt idx="1">
                  <c:v>19</c:v>
                </c:pt>
                <c:pt idx="2">
                  <c:v>15</c:v>
                </c:pt>
                <c:pt idx="3">
                  <c:v>2</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Coding confidence</a:t>
            </a:r>
          </a:p>
        </c:rich>
      </c:tx>
      <c:overlay val="0"/>
      <c:spPr>
        <a:noFill/>
        <a:ln w="0">
          <a:noFill/>
        </a:ln>
      </c:spPr>
    </c:title>
    <c:autoTitleDeleted val="0"/>
    <c:plotArea>
      <c:pieChart>
        <c:varyColors val="1"/>
        <c:ser>
          <c:idx val="0"/>
          <c:order val="0"/>
          <c:tx>
            <c:strRef>
              <c:f>Dashboard_Data!F8</c:f>
              <c:strCache>
                <c:ptCount val="1"/>
                <c:pt idx="0">
                  <c:v>Count</c:v>
                </c:pt>
              </c:strCache>
            </c:strRef>
          </c:tx>
          <c:spPr>
            <a:solidFill>
              <a:srgbClr val="4f81bd"/>
            </a:solidFill>
            <a:ln w="0">
              <a:solidFill>
                <a:srgbClr val="000000"/>
              </a:solidFill>
            </a:ln>
          </c:spPr>
          <c:explosion val="0"/>
          <c:dPt>
            <c:idx val="0"/>
            <c:spPr>
              <a:solidFill>
                <a:srgbClr val="2e8b57"/>
              </a:solidFill>
              <a:ln w="0">
                <a:solidFill>
                  <a:srgbClr val="000000"/>
                </a:solidFill>
              </a:ln>
            </c:spPr>
          </c:dPt>
          <c:dPt>
            <c:idx val="1"/>
            <c:spPr>
              <a:solidFill>
                <a:srgbClr val="e0a030"/>
              </a:solidFill>
              <a:ln w="0">
                <a:solidFill>
                  <a:srgbClr val="000000"/>
                </a:solidFill>
              </a:ln>
            </c:spPr>
          </c:dPt>
          <c:dPt>
            <c:idx val="2"/>
            <c:spPr>
              <a:solidFill>
                <a:srgbClr val="c0504d"/>
              </a:solidFill>
              <a:ln w="0">
                <a:solidFill>
                  <a:srgbClr val="000000"/>
                </a:solidFill>
              </a:ln>
            </c:spPr>
          </c:dPt>
          <c:dLbls>
            <c:dLbl>
              <c:idx val="0"/>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showLeaderLines val="0"/>
          </c:dLbls>
          <c:cat>
            <c:strRef>
              <c:f>Dashboard_Data!$E$9:$E$11</c:f>
              <c:strCache>
                <c:ptCount val="3"/>
                <c:pt idx="0">
                  <c:v>High</c:v>
                </c:pt>
                <c:pt idx="1">
                  <c:v>Medium</c:v>
                </c:pt>
                <c:pt idx="2">
                  <c:v>Low</c:v>
                </c:pt>
              </c:strCache>
            </c:strRef>
          </c:cat>
          <c:val>
            <c:numRef>
              <c:f>Dashboard_Data!$F$9:$F$11</c:f>
              <c:numCache>
                <c:formatCode>General</c:formatCode>
                <c:ptCount val="3"/>
                <c:pt idx="0">
                  <c:v>45</c:v>
                </c:pt>
                <c:pt idx="1">
                  <c:v>11</c:v>
                </c:pt>
                <c:pt idx="2">
                  <c:v>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Inscriptions per domain, split by valence</a:t>
            </a:r>
          </a:p>
        </c:rich>
      </c:tx>
      <c:overlay val="0"/>
      <c:spPr>
        <a:noFill/>
        <a:ln w="0">
          <a:noFill/>
        </a:ln>
      </c:spPr>
    </c:title>
    <c:autoTitleDeleted val="0"/>
    <c:plotArea>
      <c:barChart>
        <c:barDir val="bar"/>
        <c:grouping val="stacked"/>
        <c:varyColors val="0"/>
        <c:ser>
          <c:idx val="0"/>
          <c:order val="0"/>
          <c:tx>
            <c:strRef>
              <c:f>Dashboard_Data!J1</c:f>
              <c:strCache>
                <c:ptCount val="1"/>
                <c:pt idx="0">
                  <c:v>Positive</c:v>
                </c:pt>
              </c:strCache>
            </c:strRef>
          </c:tx>
          <c:spPr>
            <a:solidFill>
              <a:srgbClr val="2e8b57"/>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Dashboard_Data!$H$2:$H$9</c:f>
              <c:strCache>
                <c:ptCount val="8"/>
                <c:pt idx="0">
                  <c:v>Love &amp; Relationships</c:v>
                </c:pt>
                <c:pt idx="1">
                  <c:v>Money &amp; Class</c:v>
                </c:pt>
                <c:pt idx="2">
                  <c:v>Driver &amp; Work</c:v>
                </c:pt>
                <c:pt idx="3">
                  <c:v>Gender</c:v>
                </c:pt>
                <c:pt idx="4">
                  <c:v>Self &amp; Morality</c:v>
                </c:pt>
                <c:pt idx="5">
                  <c:v>Faith &amp; Mortality</c:v>
                </c:pt>
                <c:pt idx="6">
                  <c:v>Politics &amp; Place</c:v>
                </c:pt>
                <c:pt idx="7">
                  <c:v>Style &amp; Register</c:v>
                </c:pt>
              </c:strCache>
            </c:strRef>
          </c:cat>
          <c:val>
            <c:numRef>
              <c:f>Dashboard_Data!$J$2:$J$9</c:f>
              <c:numCache>
                <c:formatCode>General</c:formatCode>
                <c:ptCount val="8"/>
                <c:pt idx="0">
                  <c:v>6</c:v>
                </c:pt>
                <c:pt idx="1">
                  <c:v>2</c:v>
                </c:pt>
                <c:pt idx="2">
                  <c:v>4</c:v>
                </c:pt>
                <c:pt idx="3">
                  <c:v>3</c:v>
                </c:pt>
                <c:pt idx="4">
                  <c:v>11</c:v>
                </c:pt>
                <c:pt idx="5">
                  <c:v>3</c:v>
                </c:pt>
                <c:pt idx="6">
                  <c:v>1</c:v>
                </c:pt>
                <c:pt idx="7">
                  <c:v>5</c:v>
                </c:pt>
              </c:numCache>
            </c:numRef>
          </c:val>
        </c:ser>
        <c:ser>
          <c:idx val="1"/>
          <c:order val="1"/>
          <c:tx>
            <c:strRef>
              <c:f>Dashboard_Data!K1</c:f>
              <c:strCache>
                <c:ptCount val="1"/>
                <c:pt idx="0">
                  <c:v>Negative</c:v>
                </c:pt>
              </c:strCache>
            </c:strRef>
          </c:tx>
          <c:spPr>
            <a:solidFill>
              <a:srgbClr val="c0504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Dashboard_Data!$H$2:$H$9</c:f>
              <c:strCache>
                <c:ptCount val="8"/>
                <c:pt idx="0">
                  <c:v>Love &amp; Relationships</c:v>
                </c:pt>
                <c:pt idx="1">
                  <c:v>Money &amp; Class</c:v>
                </c:pt>
                <c:pt idx="2">
                  <c:v>Driver &amp; Work</c:v>
                </c:pt>
                <c:pt idx="3">
                  <c:v>Gender</c:v>
                </c:pt>
                <c:pt idx="4">
                  <c:v>Self &amp; Morality</c:v>
                </c:pt>
                <c:pt idx="5">
                  <c:v>Faith &amp; Mortality</c:v>
                </c:pt>
                <c:pt idx="6">
                  <c:v>Politics &amp; Place</c:v>
                </c:pt>
                <c:pt idx="7">
                  <c:v>Style &amp; Register</c:v>
                </c:pt>
              </c:strCache>
            </c:strRef>
          </c:cat>
          <c:val>
            <c:numRef>
              <c:f>Dashboard_Data!$K$2:$K$9</c:f>
              <c:numCache>
                <c:formatCode>General</c:formatCode>
                <c:ptCount val="8"/>
                <c:pt idx="0">
                  <c:v>9</c:v>
                </c:pt>
                <c:pt idx="1">
                  <c:v>11</c:v>
                </c:pt>
                <c:pt idx="2">
                  <c:v>4</c:v>
                </c:pt>
                <c:pt idx="3">
                  <c:v>1</c:v>
                </c:pt>
                <c:pt idx="4">
                  <c:v>4</c:v>
                </c:pt>
                <c:pt idx="5">
                  <c:v>3</c:v>
                </c:pt>
                <c:pt idx="6">
                  <c:v>4</c:v>
                </c:pt>
                <c:pt idx="7">
                  <c:v>3</c:v>
                </c:pt>
              </c:numCache>
            </c:numRef>
          </c:val>
        </c:ser>
        <c:ser>
          <c:idx val="2"/>
          <c:order val="2"/>
          <c:tx>
            <c:strRef>
              <c:f>Dashboard_Data!L1</c:f>
              <c:strCache>
                <c:ptCount val="1"/>
                <c:pt idx="0">
                  <c:v>Mixed</c:v>
                </c:pt>
              </c:strCache>
            </c:strRef>
          </c:tx>
          <c:spPr>
            <a:solidFill>
              <a:srgbClr val="e0a030"/>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Dashboard_Data!$H$2:$H$9</c:f>
              <c:strCache>
                <c:ptCount val="8"/>
                <c:pt idx="0">
                  <c:v>Love &amp; Relationships</c:v>
                </c:pt>
                <c:pt idx="1">
                  <c:v>Money &amp; Class</c:v>
                </c:pt>
                <c:pt idx="2">
                  <c:v>Driver &amp; Work</c:v>
                </c:pt>
                <c:pt idx="3">
                  <c:v>Gender</c:v>
                </c:pt>
                <c:pt idx="4">
                  <c:v>Self &amp; Morality</c:v>
                </c:pt>
                <c:pt idx="5">
                  <c:v>Faith &amp; Mortality</c:v>
                </c:pt>
                <c:pt idx="6">
                  <c:v>Politics &amp; Place</c:v>
                </c:pt>
                <c:pt idx="7">
                  <c:v>Style &amp; Register</c:v>
                </c:pt>
              </c:strCache>
            </c:strRef>
          </c:cat>
          <c:val>
            <c:numRef>
              <c:f>Dashboard_Data!$L$2:$L$9</c:f>
              <c:numCache>
                <c:formatCode>General</c:formatCode>
                <c:ptCount val="8"/>
                <c:pt idx="0">
                  <c:v>10</c:v>
                </c:pt>
                <c:pt idx="1">
                  <c:v>5</c:v>
                </c:pt>
                <c:pt idx="2">
                  <c:v>5</c:v>
                </c:pt>
                <c:pt idx="3">
                  <c:v>4</c:v>
                </c:pt>
                <c:pt idx="4">
                  <c:v>14</c:v>
                </c:pt>
                <c:pt idx="5">
                  <c:v>2</c:v>
                </c:pt>
                <c:pt idx="6">
                  <c:v>2</c:v>
                </c:pt>
                <c:pt idx="7">
                  <c:v>10</c:v>
                </c:pt>
              </c:numCache>
            </c:numRef>
          </c:val>
        </c:ser>
        <c:ser>
          <c:idx val="3"/>
          <c:order val="3"/>
          <c:tx>
            <c:strRef>
              <c:f>Dashboard_Data!M1</c:f>
              <c:strCache>
                <c:ptCount val="1"/>
                <c:pt idx="0">
                  <c:v>Neutral</c:v>
                </c:pt>
              </c:strCache>
            </c:strRef>
          </c:tx>
          <c:spPr>
            <a:solidFill>
              <a:srgbClr val="a6a6a6"/>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Dashboard_Data!$H$2:$H$9</c:f>
              <c:strCache>
                <c:ptCount val="8"/>
                <c:pt idx="0">
                  <c:v>Love &amp; Relationships</c:v>
                </c:pt>
                <c:pt idx="1">
                  <c:v>Money &amp; Class</c:v>
                </c:pt>
                <c:pt idx="2">
                  <c:v>Driver &amp; Work</c:v>
                </c:pt>
                <c:pt idx="3">
                  <c:v>Gender</c:v>
                </c:pt>
                <c:pt idx="4">
                  <c:v>Self &amp; Morality</c:v>
                </c:pt>
                <c:pt idx="5">
                  <c:v>Faith &amp; Mortality</c:v>
                </c:pt>
                <c:pt idx="6">
                  <c:v>Politics &amp; Place</c:v>
                </c:pt>
                <c:pt idx="7">
                  <c:v>Style &amp; Register</c:v>
                </c:pt>
              </c:strCache>
            </c:strRef>
          </c:cat>
          <c:val>
            <c:numRef>
              <c:f>Dashboard_Data!$M$2:$M$9</c:f>
              <c:numCache>
                <c:formatCode>General</c:formatCode>
                <c:ptCount val="8"/>
                <c:pt idx="0">
                  <c:v>2</c:v>
                </c:pt>
                <c:pt idx="1">
                  <c:v>0</c:v>
                </c:pt>
                <c:pt idx="2">
                  <c:v>0</c:v>
                </c:pt>
                <c:pt idx="3">
                  <c:v>0</c:v>
                </c:pt>
                <c:pt idx="4">
                  <c:v>2</c:v>
                </c:pt>
                <c:pt idx="5">
                  <c:v>0</c:v>
                </c:pt>
                <c:pt idx="6">
                  <c:v>0</c:v>
                </c:pt>
                <c:pt idx="7">
                  <c:v>0</c:v>
                </c:pt>
              </c:numCache>
            </c:numRef>
          </c:val>
        </c:ser>
        <c:gapWidth val="150"/>
        <c:overlap val="100"/>
        <c:axId val="53046464"/>
        <c:axId val="93764183"/>
      </c:barChart>
      <c:catAx>
        <c:axId val="5304646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3764183"/>
        <c:crosses val="autoZero"/>
        <c:auto val="1"/>
        <c:lblAlgn val="ctr"/>
        <c:lblOffset val="100"/>
        <c:noMultiLvlLbl val="0"/>
      </c:catAx>
      <c:valAx>
        <c:axId val="93764183"/>
        <c:scaling>
          <c:orientation val="minMax"/>
        </c:scaling>
        <c:delete val="0"/>
        <c:axPos val="l"/>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30464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Tags from prior taxonomy vs. new categories</a:t>
            </a:r>
          </a:p>
        </c:rich>
      </c:tx>
      <c:overlay val="0"/>
      <c:spPr>
        <a:noFill/>
        <a:ln w="0">
          <a:noFill/>
        </a:ln>
      </c:spPr>
    </c:title>
    <c:autoTitleDeleted val="0"/>
    <c:plotArea>
      <c:barChart>
        <c:barDir val="col"/>
        <c:grouping val="clustered"/>
        <c:varyColors val="0"/>
        <c:ser>
          <c:idx val="0"/>
          <c:order val="0"/>
          <c:tx>
            <c:strRef>
              <c:f>Dashboard_Data!F12</c:f>
              <c:strCache>
                <c:ptCount val="1"/>
                <c:pt idx="0">
                  <c:v>Tag assignments</c:v>
                </c:pt>
              </c:strCache>
            </c:strRef>
          </c:tx>
          <c:spPr>
            <a:solidFill>
              <a:srgbClr val="4f81bd"/>
            </a:solidFill>
            <a:ln w="0">
              <a:solidFill>
                <a:srgbClr val="000000"/>
              </a:solidFill>
            </a:ln>
          </c:spPr>
          <c:invertIfNegative val="0"/>
          <c:dPt>
            <c:idx val="0"/>
            <c:invertIfNegative val="0"/>
            <c:spPr>
              <a:solidFill>
                <a:srgbClr val="1f4e79"/>
              </a:solidFill>
              <a:ln w="0">
                <a:solidFill>
                  <a:srgbClr val="000000"/>
                </a:solidFill>
              </a:ln>
            </c:spPr>
          </c:dPt>
          <c:dPt>
            <c:idx val="1"/>
            <c:invertIfNegative val="0"/>
            <c:spPr>
              <a:solidFill>
                <a:srgbClr val="2e8b57"/>
              </a:solidFill>
              <a:ln w="0">
                <a:solidFill>
                  <a:srgbClr val="000000"/>
                </a:solidFill>
              </a:ln>
            </c:spPr>
          </c:dPt>
          <c:dLbls>
            <c:dLbl>
              <c:idx val="0"/>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Dashboard_Data!$E$13:$E$14</c:f>
              <c:strCache>
                <c:ptCount val="2"/>
                <c:pt idx="0">
                  <c:v>Deductive</c:v>
                </c:pt>
                <c:pt idx="1">
                  <c:v>Emergent</c:v>
                </c:pt>
              </c:strCache>
            </c:strRef>
          </c:cat>
          <c:val>
            <c:numRef>
              <c:f>Dashboard_Data!$F$13:$F$14</c:f>
              <c:numCache>
                <c:formatCode>General</c:formatCode>
                <c:ptCount val="2"/>
                <c:pt idx="0">
                  <c:v>122</c:v>
                </c:pt>
                <c:pt idx="1">
                  <c:v>43</c:v>
                </c:pt>
              </c:numCache>
            </c:numRef>
          </c:val>
        </c:ser>
        <c:gapWidth val="150"/>
        <c:overlap val="0"/>
        <c:axId val="86304560"/>
        <c:axId val="74862984"/>
      </c:barChart>
      <c:catAx>
        <c:axId val="8630456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4862984"/>
        <c:crosses val="autoZero"/>
        <c:auto val="1"/>
        <c:lblAlgn val="ctr"/>
        <c:lblOffset val="100"/>
        <c:noMultiLvlLbl val="0"/>
      </c:catAx>
      <c:valAx>
        <c:axId val="74862984"/>
        <c:scaling>
          <c:orientation val="minMax"/>
        </c:scaling>
        <c:delete val="1"/>
        <c:axPos val="l"/>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6304560"/>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Cluster size</a:t>
            </a:r>
          </a:p>
        </c:rich>
      </c:tx>
      <c:overlay val="0"/>
      <c:spPr>
        <a:noFill/>
        <a:ln w="0">
          <a:noFill/>
        </a:ln>
      </c:spPr>
    </c:title>
    <c:autoTitleDeleted val="0"/>
    <c:plotArea>
      <c:barChart>
        <c:barDir val="bar"/>
        <c:grouping val="clustered"/>
        <c:varyColors val="0"/>
        <c:ser>
          <c:idx val="0"/>
          <c:order val="0"/>
          <c:tx>
            <c:strRef>
              <c:f>Dashboard_Data!I12</c:f>
              <c:strCache>
                <c:ptCount val="1"/>
                <c:pt idx="0">
                  <c:v>Members</c:v>
                </c:pt>
              </c:strCache>
            </c:strRef>
          </c:tx>
          <c:spPr>
            <a:solidFill>
              <a:srgbClr val="c0504d"/>
            </a:solidFill>
            <a:ln w="0">
              <a:solidFill>
                <a:srgbClr val="000000"/>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Dashboard_Data!$H$13:$H$26</c:f>
              <c:strCache>
                <c:ptCount val="14"/>
                <c:pt idx="0">
                  <c:v>Romantic loss and longing</c:v>
                </c:pt>
                <c:pt idx="1">
                  <c:v>Love and money</c:v>
                </c:pt>
                <c:pt idx="2">
                  <c:v>The fare and the driver's dignity</c:v>
                </c:pt>
                <c:pt idx="3">
                  <c:v>Wealth, class and fair-weather kin</c:v>
                </c:pt>
                <c:pt idx="4">
                  <c:v>Gulf migration as default exit</c:v>
                </c:pt>
                <c:pt idx="5">
                  <c:v>Masculine burden and display</c:v>
                </c:pt>
                <c:pt idx="6">
                  <c:v>Family and parents</c:v>
                </c:pt>
                <c:pt idx="7">
                  <c:v>Hope, patience, endurance</c:v>
                </c:pt>
                <c:pt idx="8">
                  <c:v>Distrust of the world</c:v>
                </c:pt>
                <c:pt idx="9">
                  <c:v>Self-assertion and swagger</c:v>
                </c:pt>
                <c:pt idx="10">
                  <c:v>Political satire</c:v>
                </c:pt>
                <c:pt idx="11">
                  <c:v>Mortality and the road</c:v>
                </c:pt>
                <c:pt idx="12">
                  <c:v>Karnali place-names</c:v>
                </c:pt>
                <c:pt idx="13">
                  <c:v>Youth humour and code-mixing</c:v>
                </c:pt>
              </c:strCache>
            </c:strRef>
          </c:cat>
          <c:val>
            <c:numRef>
              <c:f>Dashboard_Data!$I$13:$I$26</c:f>
              <c:numCache>
                <c:formatCode>General</c:formatCode>
                <c:ptCount val="14"/>
                <c:pt idx="0">
                  <c:v>8</c:v>
                </c:pt>
                <c:pt idx="1">
                  <c:v>6</c:v>
                </c:pt>
                <c:pt idx="2">
                  <c:v>8</c:v>
                </c:pt>
                <c:pt idx="3">
                  <c:v>7</c:v>
                </c:pt>
                <c:pt idx="4">
                  <c:v>4</c:v>
                </c:pt>
                <c:pt idx="5">
                  <c:v>5</c:v>
                </c:pt>
                <c:pt idx="6">
                  <c:v>7</c:v>
                </c:pt>
                <c:pt idx="7">
                  <c:v>8</c:v>
                </c:pt>
                <c:pt idx="8">
                  <c:v>6</c:v>
                </c:pt>
                <c:pt idx="9">
                  <c:v>7</c:v>
                </c:pt>
                <c:pt idx="10">
                  <c:v>4</c:v>
                </c:pt>
                <c:pt idx="11">
                  <c:v>5</c:v>
                </c:pt>
                <c:pt idx="12">
                  <c:v>3</c:v>
                </c:pt>
                <c:pt idx="13">
                  <c:v>5</c:v>
                </c:pt>
              </c:numCache>
            </c:numRef>
          </c:val>
        </c:ser>
        <c:gapWidth val="150"/>
        <c:overlap val="0"/>
        <c:axId val="43456321"/>
        <c:axId val="39113949"/>
      </c:barChart>
      <c:catAx>
        <c:axId val="43456321"/>
        <c:scaling>
          <c:orientation val="maxMin"/>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9113949"/>
        <c:crosses val="autoZero"/>
        <c:auto val="1"/>
        <c:lblAlgn val="ctr"/>
        <c:lblOffset val="100"/>
        <c:noMultiLvlLbl val="0"/>
      </c:catAx>
      <c:valAx>
        <c:axId val="39113949"/>
        <c:scaling>
          <c:orientation val="minMax"/>
        </c:scaling>
        <c:delete val="1"/>
        <c:axPos val="l"/>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3456321"/>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0</xdr:rowOff>
    </xdr:from>
    <xdr:to>
      <xdr:col>8</xdr:col>
      <xdr:colOff>376200</xdr:colOff>
      <xdr:row>31</xdr:row>
      <xdr:rowOff>59040</xdr:rowOff>
    </xdr:to>
    <xdr:graphicFrame>
      <xdr:nvGraphicFramePr>
        <xdr:cNvPr id="0" name="Chart 1"/>
        <xdr:cNvGraphicFramePr/>
      </xdr:nvGraphicFramePr>
      <xdr:xfrm>
        <a:off x="0" y="2438280"/>
        <a:ext cx="6299640" cy="48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10</xdr:row>
      <xdr:rowOff>0</xdr:rowOff>
    </xdr:from>
    <xdr:to>
      <xdr:col>15</xdr:col>
      <xdr:colOff>417240</xdr:colOff>
      <xdr:row>20</xdr:row>
      <xdr:rowOff>89640</xdr:rowOff>
    </xdr:to>
    <xdr:graphicFrame>
      <xdr:nvGraphicFramePr>
        <xdr:cNvPr id="1" name="Chart 2"/>
        <xdr:cNvGraphicFramePr/>
      </xdr:nvGraphicFramePr>
      <xdr:xfrm>
        <a:off x="6663600" y="2438280"/>
        <a:ext cx="4859640" cy="237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24</xdr:row>
      <xdr:rowOff>0</xdr:rowOff>
    </xdr:from>
    <xdr:to>
      <xdr:col>15</xdr:col>
      <xdr:colOff>417240</xdr:colOff>
      <xdr:row>34</xdr:row>
      <xdr:rowOff>89640</xdr:rowOff>
    </xdr:to>
    <xdr:graphicFrame>
      <xdr:nvGraphicFramePr>
        <xdr:cNvPr id="2" name="Chart 3"/>
        <xdr:cNvGraphicFramePr/>
      </xdr:nvGraphicFramePr>
      <xdr:xfrm>
        <a:off x="6663600" y="5638680"/>
        <a:ext cx="4859640" cy="237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40</xdr:row>
      <xdr:rowOff>0</xdr:rowOff>
    </xdr:from>
    <xdr:to>
      <xdr:col>8</xdr:col>
      <xdr:colOff>376200</xdr:colOff>
      <xdr:row>54</xdr:row>
      <xdr:rowOff>39240</xdr:rowOff>
    </xdr:to>
    <xdr:graphicFrame>
      <xdr:nvGraphicFramePr>
        <xdr:cNvPr id="3" name="Chart 4"/>
        <xdr:cNvGraphicFramePr/>
      </xdr:nvGraphicFramePr>
      <xdr:xfrm>
        <a:off x="0" y="9296280"/>
        <a:ext cx="62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40</xdr:row>
      <xdr:rowOff>0</xdr:rowOff>
    </xdr:from>
    <xdr:to>
      <xdr:col>15</xdr:col>
      <xdr:colOff>417240</xdr:colOff>
      <xdr:row>54</xdr:row>
      <xdr:rowOff>39240</xdr:rowOff>
    </xdr:to>
    <xdr:graphicFrame>
      <xdr:nvGraphicFramePr>
        <xdr:cNvPr id="4" name="Chart 5"/>
        <xdr:cNvGraphicFramePr/>
      </xdr:nvGraphicFramePr>
      <xdr:xfrm>
        <a:off x="6663600" y="9296280"/>
        <a:ext cx="485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60</xdr:row>
      <xdr:rowOff>0</xdr:rowOff>
    </xdr:from>
    <xdr:to>
      <xdr:col>8</xdr:col>
      <xdr:colOff>376200</xdr:colOff>
      <xdr:row>74</xdr:row>
      <xdr:rowOff>219240</xdr:rowOff>
    </xdr:to>
    <xdr:graphicFrame>
      <xdr:nvGraphicFramePr>
        <xdr:cNvPr id="5" name="Chart 6"/>
        <xdr:cNvGraphicFramePr/>
      </xdr:nvGraphicFramePr>
      <xdr:xfrm>
        <a:off x="0" y="13868280"/>
        <a:ext cx="6299640" cy="341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Inscriptions" displayName="Inscriptions" ref="A1:AH62" headerRowCount="1" totalsRowCount="0" totalsRowShown="0">
  <autoFilter ref="A1:AH62"/>
  <tableColumns count="34">
    <tableColumn id="1" name="ID"/>
    <tableColumn id="2" name="Original_Nepali"/>
    <tableColumn id="3" name="Transliteration"/>
    <tableColumn id="4" name="Original_Translation"/>
    <tableColumn id="5" name="Original_Theme"/>
    <tableColumn id="6" name="Normalized_Translation"/>
    <tableColumn id="7" name="Text_Type"/>
    <tableColumn id="8" name="Primary_Domain"/>
    <tableColumn id="9" name="Secondary_Domains"/>
    <tableColumn id="10" name="Emotion"/>
    <tableColumn id="11" name="Emotion_Intensity"/>
    <tableColumn id="12" name="Emotional_Target"/>
    <tableColumn id="13" name="Relationship_Type"/>
    <tableColumn id="14" name="Love_Type"/>
    <tableColumn id="15" name="Cultural_Concepts"/>
    <tableColumn id="16" name="Economic_Theme"/>
    <tableColumn id="17" name="Political_Theme"/>
    <tableColumn id="18" name="Religious_Theme"/>
    <tableColumn id="19" name="Gender_Theme"/>
    <tableColumn id="20" name="Power_Hierarchy"/>
    <tableColumn id="21" name="Identity_Theme"/>
    <tableColumn id="22" name="Aspiration"/>
    <tableColumn id="23" name="Agency"/>
    <tableColumn id="24" name="Humor_Irony"/>
    <tableColumn id="25" name="Rhetorical_Device"/>
    <tableColumn id="26" name="Valence"/>
    <tableColumn id="27" name="Temporal_Orientation"/>
    <tableColumn id="28" name="Deeper_Meaning"/>
    <tableColumn id="29" name="Evidence"/>
    <tableColumn id="30" name="Confidence"/>
    <tableColumn id="31" name="Alternative_Interpretation"/>
    <tableColumn id="32" name="Human_Review"/>
    <tableColumn id="33" name="Review_Reason"/>
    <tableColumn id="34" name="Cod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0.51"/>
  </cols>
  <sheetData>
    <row r="1" customFormat="false" ht="18" hidden="false" customHeight="true" outlineLevel="0" collapsed="false">
      <c r="A1" s="1" t="s">
        <v>0</v>
      </c>
      <c r="B1" s="1"/>
      <c r="C1" s="1"/>
      <c r="D1" s="1"/>
      <c r="E1" s="1"/>
      <c r="F1" s="1"/>
      <c r="G1" s="1"/>
      <c r="H1" s="1"/>
      <c r="I1" s="1"/>
      <c r="J1" s="1"/>
      <c r="K1" s="1"/>
      <c r="L1" s="1"/>
      <c r="M1" s="1"/>
      <c r="N1" s="1"/>
      <c r="O1" s="1"/>
      <c r="P1" s="1"/>
      <c r="Q1" s="1"/>
    </row>
    <row r="2" customFormat="false" ht="18" hidden="false" customHeight="true" outlineLevel="0" collapsed="false">
      <c r="A2" s="1"/>
      <c r="B2" s="1"/>
      <c r="C2" s="1"/>
      <c r="D2" s="1"/>
      <c r="E2" s="1"/>
      <c r="F2" s="1"/>
      <c r="G2" s="1"/>
      <c r="H2" s="1"/>
      <c r="I2" s="1"/>
      <c r="J2" s="1"/>
      <c r="K2" s="1"/>
      <c r="L2" s="1"/>
      <c r="M2" s="1"/>
      <c r="N2" s="1"/>
      <c r="O2" s="1"/>
      <c r="P2" s="1"/>
      <c r="Q2" s="1"/>
    </row>
    <row r="3" customFormat="false" ht="18" hidden="false" customHeight="true" outlineLevel="0" collapsed="false">
      <c r="A3" s="2" t="s">
        <v>1</v>
      </c>
      <c r="B3" s="2"/>
      <c r="C3" s="2"/>
      <c r="D3" s="2"/>
      <c r="E3" s="2"/>
      <c r="F3" s="2"/>
      <c r="G3" s="2"/>
      <c r="H3" s="2"/>
      <c r="I3" s="2"/>
      <c r="J3" s="2"/>
      <c r="K3" s="2"/>
      <c r="L3" s="2"/>
      <c r="M3" s="2"/>
      <c r="N3" s="2"/>
      <c r="O3" s="2"/>
      <c r="P3" s="2"/>
      <c r="Q3" s="2"/>
    </row>
    <row r="4" customFormat="false" ht="18" hidden="false" customHeight="true" outlineLevel="0" collapsed="false">
      <c r="A4" s="3"/>
      <c r="B4" s="3"/>
      <c r="C4" s="3"/>
      <c r="D4" s="3"/>
      <c r="E4" s="3"/>
      <c r="F4" s="3"/>
      <c r="G4" s="3"/>
      <c r="H4" s="3"/>
      <c r="I4" s="3"/>
      <c r="J4" s="3"/>
      <c r="K4" s="3"/>
      <c r="L4" s="3"/>
      <c r="M4" s="3"/>
      <c r="N4" s="3"/>
      <c r="O4" s="3"/>
      <c r="P4" s="3"/>
      <c r="Q4" s="3"/>
    </row>
    <row r="5" customFormat="false" ht="18" hidden="false" customHeight="true" outlineLevel="0" collapsed="false">
      <c r="A5" s="4" t="s">
        <v>2</v>
      </c>
      <c r="B5" s="4"/>
      <c r="C5" s="3"/>
      <c r="D5" s="5" t="s">
        <v>3</v>
      </c>
      <c r="E5" s="5"/>
      <c r="F5" s="3"/>
      <c r="G5" s="6" t="s">
        <v>4</v>
      </c>
      <c r="H5" s="6"/>
      <c r="I5" s="3"/>
      <c r="J5" s="7" t="s">
        <v>5</v>
      </c>
      <c r="K5" s="7"/>
      <c r="L5" s="3"/>
      <c r="M5" s="8" t="s">
        <v>6</v>
      </c>
      <c r="N5" s="8"/>
      <c r="O5" s="3"/>
      <c r="P5" s="9" t="s">
        <v>7</v>
      </c>
      <c r="Q5" s="9"/>
    </row>
    <row r="6" customFormat="false" ht="24" hidden="false" customHeight="true" outlineLevel="0" collapsed="false">
      <c r="A6" s="10" t="n">
        <f aca="false">COUNT(Master_Dataset!A2:A62)</f>
        <v>61</v>
      </c>
      <c r="B6" s="10"/>
      <c r="C6" s="3"/>
      <c r="D6" s="11" t="n">
        <f aca="false">COUNTA(Codebook!A12:A34)</f>
        <v>23</v>
      </c>
      <c r="E6" s="11"/>
      <c r="F6" s="3"/>
      <c r="G6" s="12" t="str">
        <f aca="false">INDEX(Dashboard_Data!A2:A24,MATCH(MAX(Dashboard_Data!C2:C24),Dashboard_Data!C2:C24,0))</f>
        <v>Love &amp; Romance</v>
      </c>
      <c r="H6" s="12"/>
      <c r="I6" s="3"/>
      <c r="J6" s="13" t="n">
        <f aca="false">COUNTIF(Master_Dataset!Z2:Z62,"Mixed")/COUNT(Master_Dataset!A2:A62)</f>
        <v>0.409836065573771</v>
      </c>
      <c r="K6" s="13"/>
      <c r="L6" s="3"/>
      <c r="M6" s="14" t="n">
        <f aca="false">COUNTIF(Master_Dataset!AD2:AD62,"High")/COUNT(Master_Dataset!A2:A62)</f>
        <v>0.737704918032787</v>
      </c>
      <c r="N6" s="14"/>
      <c r="O6" s="3"/>
      <c r="P6" s="15" t="n">
        <f aca="false">COUNTIF(Master_Dataset!AF2:AF62,"Y")</f>
        <v>27</v>
      </c>
      <c r="Q6" s="15"/>
    </row>
    <row r="7" customFormat="false" ht="24" hidden="false" customHeight="true" outlineLevel="0" collapsed="false">
      <c r="A7" s="10"/>
      <c r="B7" s="10"/>
      <c r="C7" s="3"/>
      <c r="D7" s="11"/>
      <c r="E7" s="11"/>
      <c r="F7" s="3"/>
      <c r="G7" s="12"/>
      <c r="H7" s="12"/>
      <c r="I7" s="3"/>
      <c r="J7" s="13"/>
      <c r="K7" s="13"/>
      <c r="L7" s="3"/>
      <c r="M7" s="14"/>
      <c r="N7" s="14"/>
      <c r="O7" s="3"/>
      <c r="P7" s="15"/>
      <c r="Q7" s="15"/>
    </row>
    <row r="8" customFormat="false" ht="18" hidden="false" customHeight="true" outlineLevel="0" collapsed="false">
      <c r="A8" s="16" t="s">
        <v>8</v>
      </c>
      <c r="B8" s="16"/>
      <c r="C8" s="3"/>
      <c r="D8" s="17" t="s">
        <v>9</v>
      </c>
      <c r="E8" s="17"/>
      <c r="F8" s="3"/>
      <c r="G8" s="18" t="str">
        <f aca="false">MAX(Frequencies!C2:C24)&amp;" inscriptions"</f>
        <v>18 inscriptions</v>
      </c>
      <c r="H8" s="18"/>
      <c r="I8" s="3"/>
      <c r="J8" s="19" t="s">
        <v>10</v>
      </c>
      <c r="K8" s="19"/>
      <c r="L8" s="3"/>
      <c r="M8" s="20" t="s">
        <v>11</v>
      </c>
      <c r="N8" s="20"/>
      <c r="O8" s="3"/>
      <c r="P8" s="21" t="s">
        <v>12</v>
      </c>
      <c r="Q8" s="21"/>
    </row>
    <row r="9" customFormat="false" ht="18" hidden="false" customHeight="true" outlineLevel="0" collapsed="false">
      <c r="A9" s="3"/>
      <c r="B9" s="3"/>
      <c r="C9" s="3"/>
      <c r="D9" s="3"/>
      <c r="E9" s="3"/>
      <c r="F9" s="3"/>
      <c r="G9" s="3"/>
      <c r="H9" s="3"/>
      <c r="I9" s="3"/>
      <c r="J9" s="3"/>
      <c r="K9" s="3"/>
      <c r="L9" s="3"/>
      <c r="M9" s="3"/>
      <c r="N9" s="3"/>
      <c r="O9" s="3"/>
      <c r="P9" s="3"/>
      <c r="Q9" s="3"/>
    </row>
    <row r="10" customFormat="false" ht="18" hidden="false" customHeight="true" outlineLevel="0" collapsed="false">
      <c r="A10" s="22" t="s">
        <v>13</v>
      </c>
      <c r="B10" s="22"/>
      <c r="C10" s="22"/>
      <c r="D10" s="22"/>
      <c r="E10" s="22"/>
      <c r="F10" s="22"/>
      <c r="G10" s="22"/>
      <c r="H10" s="22"/>
      <c r="I10" s="3"/>
      <c r="J10" s="22" t="s">
        <v>14</v>
      </c>
      <c r="K10" s="22"/>
      <c r="L10" s="22"/>
      <c r="M10" s="22"/>
      <c r="N10" s="22"/>
      <c r="O10" s="22"/>
      <c r="P10" s="22"/>
      <c r="Q10" s="22"/>
    </row>
    <row r="11" customFormat="false" ht="18" hidden="false" customHeight="true" outlineLevel="0" collapsed="false">
      <c r="A11" s="3"/>
      <c r="B11" s="3"/>
      <c r="C11" s="3"/>
      <c r="D11" s="3"/>
      <c r="E11" s="3"/>
      <c r="F11" s="3"/>
      <c r="G11" s="3"/>
      <c r="H11" s="3"/>
      <c r="I11" s="3"/>
      <c r="J11" s="3"/>
      <c r="K11" s="3"/>
      <c r="L11" s="3"/>
      <c r="M11" s="3"/>
      <c r="N11" s="3"/>
      <c r="O11" s="3"/>
      <c r="P11" s="3"/>
      <c r="Q11" s="3"/>
    </row>
    <row r="12" customFormat="false" ht="18" hidden="false" customHeight="true" outlineLevel="0" collapsed="false">
      <c r="A12" s="3"/>
      <c r="B12" s="3"/>
      <c r="C12" s="3"/>
      <c r="D12" s="3"/>
      <c r="E12" s="3"/>
      <c r="F12" s="3"/>
      <c r="G12" s="3"/>
      <c r="H12" s="3"/>
      <c r="I12" s="3"/>
      <c r="J12" s="3"/>
      <c r="K12" s="3"/>
      <c r="L12" s="3"/>
      <c r="M12" s="3"/>
      <c r="N12" s="3"/>
      <c r="O12" s="3"/>
      <c r="P12" s="3"/>
      <c r="Q12" s="3"/>
    </row>
    <row r="13" customFormat="false" ht="18" hidden="false" customHeight="true" outlineLevel="0" collapsed="false">
      <c r="A13" s="3"/>
      <c r="B13" s="3"/>
      <c r="C13" s="3"/>
      <c r="D13" s="3"/>
      <c r="E13" s="3"/>
      <c r="F13" s="3"/>
      <c r="G13" s="3"/>
      <c r="H13" s="3"/>
      <c r="I13" s="3"/>
      <c r="J13" s="3"/>
      <c r="K13" s="3"/>
      <c r="L13" s="3"/>
      <c r="M13" s="3"/>
      <c r="N13" s="3"/>
      <c r="O13" s="3"/>
      <c r="P13" s="3"/>
      <c r="Q13" s="3"/>
    </row>
    <row r="14" customFormat="false" ht="18" hidden="false" customHeight="true" outlineLevel="0" collapsed="false">
      <c r="A14" s="3"/>
      <c r="B14" s="3"/>
      <c r="C14" s="3"/>
      <c r="D14" s="3"/>
      <c r="E14" s="3"/>
      <c r="F14" s="3"/>
      <c r="G14" s="3"/>
      <c r="H14" s="3"/>
      <c r="I14" s="3"/>
      <c r="J14" s="3"/>
      <c r="K14" s="3"/>
      <c r="L14" s="3"/>
      <c r="M14" s="3"/>
      <c r="N14" s="3"/>
      <c r="O14" s="3"/>
      <c r="P14" s="3"/>
      <c r="Q14" s="3"/>
    </row>
    <row r="15" customFormat="false" ht="18" hidden="false" customHeight="true" outlineLevel="0" collapsed="false">
      <c r="A15" s="3"/>
      <c r="B15" s="3"/>
      <c r="C15" s="3"/>
      <c r="D15" s="3"/>
      <c r="E15" s="3"/>
      <c r="F15" s="3"/>
      <c r="G15" s="3"/>
      <c r="H15" s="3"/>
      <c r="I15" s="3"/>
      <c r="J15" s="3"/>
      <c r="K15" s="3"/>
      <c r="L15" s="3"/>
      <c r="M15" s="3"/>
      <c r="N15" s="3"/>
      <c r="O15" s="3"/>
      <c r="P15" s="3"/>
      <c r="Q15" s="3"/>
    </row>
    <row r="16" customFormat="false" ht="18" hidden="false" customHeight="true" outlineLevel="0" collapsed="false">
      <c r="A16" s="3"/>
      <c r="B16" s="3"/>
      <c r="C16" s="3"/>
      <c r="D16" s="3"/>
      <c r="E16" s="3"/>
      <c r="F16" s="3"/>
      <c r="G16" s="3"/>
      <c r="H16" s="3"/>
      <c r="I16" s="3"/>
      <c r="J16" s="3"/>
      <c r="K16" s="3"/>
      <c r="L16" s="3"/>
      <c r="M16" s="3"/>
      <c r="N16" s="3"/>
      <c r="O16" s="3"/>
      <c r="P16" s="3"/>
      <c r="Q16" s="3"/>
    </row>
    <row r="17" customFormat="false" ht="18" hidden="false" customHeight="true" outlineLevel="0" collapsed="false">
      <c r="A17" s="3"/>
      <c r="B17" s="3"/>
      <c r="C17" s="3"/>
      <c r="D17" s="3"/>
      <c r="E17" s="3"/>
      <c r="F17" s="3"/>
      <c r="G17" s="3"/>
      <c r="H17" s="3"/>
      <c r="I17" s="3"/>
      <c r="J17" s="3"/>
      <c r="K17" s="3"/>
      <c r="L17" s="3"/>
      <c r="M17" s="3"/>
      <c r="N17" s="3"/>
      <c r="O17" s="3"/>
      <c r="P17" s="3"/>
      <c r="Q17" s="3"/>
    </row>
    <row r="18" customFormat="false" ht="18" hidden="false" customHeight="true" outlineLevel="0" collapsed="false">
      <c r="A18" s="3"/>
      <c r="B18" s="3"/>
      <c r="C18" s="3"/>
      <c r="D18" s="3"/>
      <c r="E18" s="3"/>
      <c r="F18" s="3"/>
      <c r="G18" s="3"/>
      <c r="H18" s="3"/>
      <c r="I18" s="3"/>
      <c r="J18" s="3"/>
      <c r="K18" s="3"/>
      <c r="L18" s="3"/>
      <c r="M18" s="3"/>
      <c r="N18" s="3"/>
      <c r="O18" s="3"/>
      <c r="P18" s="3"/>
      <c r="Q18" s="3"/>
    </row>
    <row r="19" customFormat="false" ht="18" hidden="false" customHeight="true" outlineLevel="0" collapsed="false">
      <c r="A19" s="3"/>
      <c r="B19" s="3"/>
      <c r="C19" s="3"/>
      <c r="D19" s="3"/>
      <c r="E19" s="3"/>
      <c r="F19" s="3"/>
      <c r="G19" s="3"/>
      <c r="H19" s="3"/>
      <c r="I19" s="3"/>
      <c r="J19" s="3"/>
      <c r="K19" s="3"/>
      <c r="L19" s="3"/>
      <c r="M19" s="3"/>
      <c r="N19" s="3"/>
      <c r="O19" s="3"/>
      <c r="P19" s="3"/>
      <c r="Q19" s="3"/>
    </row>
    <row r="20" customFormat="false" ht="18" hidden="false" customHeight="true" outlineLevel="0" collapsed="false">
      <c r="A20" s="3"/>
      <c r="B20" s="3"/>
      <c r="C20" s="3"/>
      <c r="D20" s="3"/>
      <c r="E20" s="3"/>
      <c r="F20" s="3"/>
      <c r="G20" s="3"/>
      <c r="H20" s="3"/>
      <c r="I20" s="3"/>
      <c r="J20" s="3"/>
      <c r="K20" s="3"/>
      <c r="L20" s="3"/>
      <c r="M20" s="3"/>
      <c r="N20" s="3"/>
      <c r="O20" s="3"/>
      <c r="P20" s="3"/>
      <c r="Q20" s="3"/>
    </row>
    <row r="21" customFormat="false" ht="18" hidden="false" customHeight="true" outlineLevel="0" collapsed="false">
      <c r="A21" s="3"/>
      <c r="B21" s="3"/>
      <c r="C21" s="3"/>
      <c r="D21" s="3"/>
      <c r="E21" s="3"/>
      <c r="F21" s="3"/>
      <c r="G21" s="3"/>
      <c r="H21" s="3"/>
      <c r="I21" s="3"/>
      <c r="J21" s="3"/>
      <c r="K21" s="3"/>
      <c r="L21" s="3"/>
      <c r="M21" s="3"/>
      <c r="N21" s="3"/>
      <c r="O21" s="3"/>
      <c r="P21" s="3"/>
      <c r="Q21" s="3"/>
    </row>
    <row r="22" customFormat="false" ht="18" hidden="false" customHeight="true" outlineLevel="0" collapsed="false">
      <c r="A22" s="3"/>
      <c r="B22" s="3"/>
      <c r="C22" s="3"/>
      <c r="D22" s="3"/>
      <c r="E22" s="3"/>
      <c r="F22" s="3"/>
      <c r="G22" s="3"/>
      <c r="H22" s="3"/>
      <c r="I22" s="3"/>
      <c r="J22" s="3"/>
      <c r="K22" s="3"/>
      <c r="L22" s="3"/>
      <c r="M22" s="3"/>
      <c r="N22" s="3"/>
      <c r="O22" s="3"/>
      <c r="P22" s="3"/>
      <c r="Q22" s="3"/>
    </row>
    <row r="23" customFormat="false" ht="18" hidden="false" customHeight="true" outlineLevel="0" collapsed="false">
      <c r="A23" s="3"/>
      <c r="B23" s="3"/>
      <c r="C23" s="3"/>
      <c r="D23" s="3"/>
      <c r="E23" s="3"/>
      <c r="F23" s="3"/>
      <c r="G23" s="3"/>
      <c r="H23" s="3"/>
      <c r="I23" s="3"/>
      <c r="J23" s="3"/>
      <c r="K23" s="3"/>
      <c r="L23" s="3"/>
      <c r="M23" s="3"/>
      <c r="N23" s="3"/>
      <c r="O23" s="3"/>
      <c r="P23" s="3"/>
      <c r="Q23" s="3"/>
    </row>
    <row r="24" customFormat="false" ht="18" hidden="false" customHeight="true" outlineLevel="0" collapsed="false">
      <c r="A24" s="3"/>
      <c r="B24" s="3"/>
      <c r="C24" s="3"/>
      <c r="D24" s="3"/>
      <c r="E24" s="3"/>
      <c r="F24" s="3"/>
      <c r="G24" s="3"/>
      <c r="H24" s="3"/>
      <c r="I24" s="3"/>
      <c r="J24" s="3"/>
      <c r="K24" s="3"/>
      <c r="L24" s="3"/>
      <c r="M24" s="3"/>
      <c r="N24" s="3"/>
      <c r="O24" s="3"/>
      <c r="P24" s="3"/>
      <c r="Q24" s="3"/>
    </row>
    <row r="25" customFormat="false" ht="18" hidden="false" customHeight="true" outlineLevel="0" collapsed="false">
      <c r="A25" s="3"/>
      <c r="B25" s="3"/>
      <c r="C25" s="3"/>
      <c r="D25" s="3"/>
      <c r="E25" s="3"/>
      <c r="F25" s="3"/>
      <c r="G25" s="3"/>
      <c r="H25" s="3"/>
      <c r="I25" s="3"/>
      <c r="J25" s="3"/>
      <c r="K25" s="3"/>
      <c r="L25" s="3"/>
      <c r="M25" s="3"/>
      <c r="N25" s="3"/>
      <c r="O25" s="3"/>
      <c r="P25" s="3"/>
      <c r="Q25" s="3"/>
    </row>
    <row r="26" customFormat="false" ht="18" hidden="false" customHeight="true" outlineLevel="0" collapsed="false">
      <c r="A26" s="3"/>
      <c r="B26" s="3"/>
      <c r="C26" s="3"/>
      <c r="D26" s="3"/>
      <c r="E26" s="3"/>
      <c r="F26" s="3"/>
      <c r="G26" s="3"/>
      <c r="H26" s="3"/>
      <c r="I26" s="3"/>
      <c r="J26" s="3"/>
      <c r="K26" s="3"/>
      <c r="L26" s="3"/>
      <c r="M26" s="3"/>
      <c r="N26" s="3"/>
      <c r="O26" s="3"/>
      <c r="P26" s="3"/>
      <c r="Q26" s="3"/>
    </row>
    <row r="27" customFormat="false" ht="18" hidden="false" customHeight="true" outlineLevel="0" collapsed="false">
      <c r="A27" s="3"/>
      <c r="B27" s="3"/>
      <c r="C27" s="3"/>
      <c r="D27" s="3"/>
      <c r="E27" s="3"/>
      <c r="F27" s="3"/>
      <c r="G27" s="3"/>
      <c r="H27" s="3"/>
      <c r="I27" s="3"/>
      <c r="J27" s="3"/>
      <c r="K27" s="3"/>
      <c r="L27" s="3"/>
      <c r="M27" s="3"/>
      <c r="N27" s="3"/>
      <c r="O27" s="3"/>
      <c r="P27" s="3"/>
      <c r="Q27" s="3"/>
    </row>
    <row r="28" customFormat="false" ht="18" hidden="false" customHeight="true" outlineLevel="0" collapsed="false">
      <c r="A28" s="3"/>
      <c r="B28" s="3"/>
      <c r="C28" s="3"/>
      <c r="D28" s="3"/>
      <c r="E28" s="3"/>
      <c r="F28" s="3"/>
      <c r="G28" s="3"/>
      <c r="H28" s="3"/>
      <c r="I28" s="3"/>
      <c r="J28" s="3"/>
      <c r="K28" s="3"/>
      <c r="L28" s="3"/>
      <c r="M28" s="3"/>
      <c r="N28" s="3"/>
      <c r="O28" s="3"/>
      <c r="P28" s="3"/>
      <c r="Q28" s="3"/>
    </row>
    <row r="29" customFormat="false" ht="18" hidden="false" customHeight="true" outlineLevel="0" collapsed="false">
      <c r="A29" s="3"/>
      <c r="B29" s="3"/>
      <c r="C29" s="3"/>
      <c r="D29" s="3"/>
      <c r="E29" s="3"/>
      <c r="F29" s="3"/>
      <c r="G29" s="3"/>
      <c r="H29" s="3"/>
      <c r="I29" s="3"/>
      <c r="J29" s="3"/>
      <c r="K29" s="3"/>
      <c r="L29" s="3"/>
      <c r="M29" s="3"/>
      <c r="N29" s="3"/>
      <c r="O29" s="3"/>
      <c r="P29" s="3"/>
      <c r="Q29" s="3"/>
    </row>
    <row r="30" customFormat="false" ht="18" hidden="false" customHeight="true" outlineLevel="0" collapsed="false">
      <c r="A30" s="3"/>
      <c r="B30" s="3"/>
      <c r="C30" s="3"/>
      <c r="D30" s="3"/>
      <c r="E30" s="3"/>
      <c r="F30" s="3"/>
      <c r="G30" s="3"/>
      <c r="H30" s="3"/>
      <c r="I30" s="3"/>
      <c r="J30" s="3"/>
      <c r="K30" s="3"/>
      <c r="L30" s="3"/>
      <c r="M30" s="3"/>
      <c r="N30" s="3"/>
      <c r="O30" s="3"/>
      <c r="P30" s="3"/>
      <c r="Q30" s="3"/>
    </row>
    <row r="31" customFormat="false" ht="18" hidden="false" customHeight="true" outlineLevel="0" collapsed="false">
      <c r="A31" s="3"/>
      <c r="B31" s="3"/>
      <c r="C31" s="3"/>
      <c r="D31" s="3"/>
      <c r="E31" s="3"/>
      <c r="F31" s="3"/>
      <c r="G31" s="3"/>
      <c r="H31" s="3"/>
      <c r="I31" s="3"/>
      <c r="J31" s="3"/>
      <c r="K31" s="3"/>
      <c r="L31" s="3"/>
      <c r="M31" s="3"/>
      <c r="N31" s="3"/>
      <c r="O31" s="3"/>
      <c r="P31" s="3"/>
      <c r="Q31" s="3"/>
    </row>
    <row r="32" customFormat="false" ht="18" hidden="false" customHeight="true" outlineLevel="0" collapsed="false">
      <c r="A32" s="3"/>
      <c r="B32" s="3"/>
      <c r="C32" s="3"/>
      <c r="D32" s="3"/>
      <c r="E32" s="3"/>
      <c r="F32" s="3"/>
      <c r="G32" s="3"/>
      <c r="H32" s="3"/>
      <c r="I32" s="3"/>
      <c r="J32" s="3"/>
      <c r="K32" s="3"/>
      <c r="L32" s="3"/>
      <c r="M32" s="3"/>
      <c r="N32" s="3"/>
      <c r="O32" s="3"/>
      <c r="P32" s="3"/>
      <c r="Q32" s="3"/>
    </row>
    <row r="33" customFormat="false" ht="18" hidden="false" customHeight="true" outlineLevel="0" collapsed="false">
      <c r="A33" s="3"/>
      <c r="B33" s="3"/>
      <c r="C33" s="3"/>
      <c r="D33" s="3"/>
      <c r="E33" s="3"/>
      <c r="F33" s="3"/>
      <c r="G33" s="3"/>
      <c r="H33" s="3"/>
      <c r="I33" s="3"/>
      <c r="J33" s="3"/>
      <c r="K33" s="3"/>
      <c r="L33" s="3"/>
      <c r="M33" s="3"/>
      <c r="N33" s="3"/>
      <c r="O33" s="3"/>
      <c r="P33" s="3"/>
      <c r="Q33" s="3"/>
    </row>
    <row r="34" customFormat="false" ht="18" hidden="false" customHeight="true" outlineLevel="0" collapsed="false">
      <c r="A34" s="3"/>
      <c r="B34" s="3"/>
      <c r="C34" s="3"/>
      <c r="D34" s="3"/>
      <c r="E34" s="3"/>
      <c r="F34" s="3"/>
      <c r="G34" s="3"/>
      <c r="H34" s="3"/>
      <c r="I34" s="3"/>
      <c r="J34" s="3"/>
      <c r="K34" s="3"/>
      <c r="L34" s="3"/>
      <c r="M34" s="3"/>
      <c r="N34" s="3"/>
      <c r="O34" s="3"/>
      <c r="P34" s="3"/>
      <c r="Q34" s="3"/>
    </row>
    <row r="35" customFormat="false" ht="18" hidden="false" customHeight="true" outlineLevel="0" collapsed="false">
      <c r="A35" s="3"/>
      <c r="B35" s="3"/>
      <c r="C35" s="3"/>
      <c r="D35" s="3"/>
      <c r="E35" s="3"/>
      <c r="F35" s="3"/>
      <c r="G35" s="3"/>
      <c r="H35" s="3"/>
      <c r="I35" s="3"/>
      <c r="J35" s="3"/>
      <c r="K35" s="3"/>
      <c r="L35" s="3"/>
      <c r="M35" s="3"/>
      <c r="N35" s="3"/>
      <c r="O35" s="3"/>
      <c r="P35" s="3"/>
      <c r="Q35" s="3"/>
    </row>
    <row r="36" customFormat="false" ht="18" hidden="false" customHeight="true" outlineLevel="0" collapsed="false">
      <c r="A36" s="3"/>
      <c r="B36" s="3"/>
      <c r="C36" s="3"/>
      <c r="D36" s="3"/>
      <c r="E36" s="3"/>
      <c r="F36" s="3"/>
      <c r="G36" s="3"/>
      <c r="H36" s="3"/>
      <c r="I36" s="3"/>
      <c r="J36" s="3"/>
      <c r="K36" s="3"/>
      <c r="L36" s="3"/>
      <c r="M36" s="3"/>
      <c r="N36" s="3"/>
      <c r="O36" s="3"/>
      <c r="P36" s="3"/>
      <c r="Q36" s="3"/>
    </row>
    <row r="37" customFormat="false" ht="18" hidden="false" customHeight="true" outlineLevel="0" collapsed="false">
      <c r="A37" s="3"/>
      <c r="B37" s="3"/>
      <c r="C37" s="3"/>
      <c r="D37" s="3"/>
      <c r="E37" s="3"/>
      <c r="F37" s="3"/>
      <c r="G37" s="3"/>
      <c r="H37" s="3"/>
      <c r="I37" s="3"/>
      <c r="J37" s="3"/>
      <c r="K37" s="3"/>
      <c r="L37" s="3"/>
      <c r="M37" s="3"/>
      <c r="N37" s="3"/>
      <c r="O37" s="3"/>
      <c r="P37" s="3"/>
      <c r="Q37" s="3"/>
    </row>
    <row r="38" customFormat="false" ht="18" hidden="false" customHeight="true" outlineLevel="0" collapsed="false">
      <c r="A38" s="3"/>
      <c r="B38" s="3"/>
      <c r="C38" s="3"/>
      <c r="D38" s="3"/>
      <c r="E38" s="3"/>
      <c r="F38" s="3"/>
      <c r="G38" s="3"/>
      <c r="H38" s="3"/>
      <c r="I38" s="3"/>
      <c r="J38" s="3"/>
      <c r="K38" s="3"/>
      <c r="L38" s="3"/>
      <c r="M38" s="3"/>
      <c r="N38" s="3"/>
      <c r="O38" s="3"/>
      <c r="P38" s="3"/>
      <c r="Q38" s="3"/>
    </row>
    <row r="39" customFormat="false" ht="18" hidden="false" customHeight="true" outlineLevel="0" collapsed="false">
      <c r="A39" s="3"/>
      <c r="B39" s="3"/>
      <c r="C39" s="3"/>
      <c r="D39" s="3"/>
      <c r="E39" s="3"/>
      <c r="F39" s="3"/>
      <c r="G39" s="3"/>
      <c r="H39" s="3"/>
      <c r="I39" s="3"/>
      <c r="J39" s="3"/>
      <c r="K39" s="3"/>
      <c r="L39" s="3"/>
      <c r="M39" s="3"/>
      <c r="N39" s="3"/>
      <c r="O39" s="3"/>
      <c r="P39" s="3"/>
      <c r="Q39" s="3"/>
    </row>
    <row r="40" customFormat="false" ht="18" hidden="false" customHeight="true" outlineLevel="0" collapsed="false">
      <c r="A40" s="22" t="s">
        <v>15</v>
      </c>
      <c r="B40" s="22"/>
      <c r="C40" s="22"/>
      <c r="D40" s="22"/>
      <c r="E40" s="22"/>
      <c r="F40" s="22"/>
      <c r="G40" s="22"/>
      <c r="H40" s="22"/>
      <c r="I40" s="22"/>
      <c r="J40" s="22"/>
      <c r="K40" s="22"/>
      <c r="L40" s="22"/>
      <c r="M40" s="22"/>
      <c r="N40" s="22"/>
      <c r="O40" s="22"/>
      <c r="P40" s="22"/>
      <c r="Q40" s="22"/>
    </row>
    <row r="41" customFormat="false" ht="18" hidden="false" customHeight="true" outlineLevel="0" collapsed="false">
      <c r="A41" s="3"/>
      <c r="B41" s="3"/>
      <c r="C41" s="3"/>
      <c r="D41" s="3"/>
      <c r="E41" s="3"/>
      <c r="F41" s="3"/>
      <c r="G41" s="3"/>
      <c r="H41" s="3"/>
      <c r="I41" s="3"/>
      <c r="J41" s="3"/>
      <c r="K41" s="3"/>
      <c r="L41" s="3"/>
      <c r="M41" s="3"/>
      <c r="N41" s="3"/>
      <c r="O41" s="3"/>
      <c r="P41" s="3"/>
      <c r="Q41" s="3"/>
    </row>
    <row r="42" customFormat="false" ht="18" hidden="false" customHeight="true" outlineLevel="0" collapsed="false">
      <c r="A42" s="3"/>
      <c r="B42" s="3"/>
      <c r="C42" s="3"/>
      <c r="D42" s="3"/>
      <c r="E42" s="3"/>
      <c r="F42" s="3"/>
      <c r="G42" s="3"/>
      <c r="H42" s="3"/>
      <c r="I42" s="3"/>
      <c r="J42" s="3"/>
      <c r="K42" s="3"/>
      <c r="L42" s="3"/>
      <c r="M42" s="3"/>
      <c r="N42" s="3"/>
      <c r="O42" s="3"/>
      <c r="P42" s="3"/>
      <c r="Q42" s="3"/>
    </row>
    <row r="43" customFormat="false" ht="18" hidden="false" customHeight="true" outlineLevel="0" collapsed="false">
      <c r="A43" s="3"/>
      <c r="B43" s="3"/>
      <c r="C43" s="3"/>
      <c r="D43" s="3"/>
      <c r="E43" s="3"/>
      <c r="F43" s="3"/>
      <c r="G43" s="3"/>
      <c r="H43" s="3"/>
      <c r="I43" s="3"/>
      <c r="J43" s="3"/>
      <c r="K43" s="3"/>
      <c r="L43" s="3"/>
      <c r="M43" s="3"/>
      <c r="N43" s="3"/>
      <c r="O43" s="3"/>
      <c r="P43" s="3"/>
      <c r="Q43" s="3"/>
    </row>
    <row r="44" customFormat="false" ht="18" hidden="false" customHeight="true" outlineLevel="0" collapsed="false">
      <c r="A44" s="3"/>
      <c r="B44" s="3"/>
      <c r="C44" s="3"/>
      <c r="D44" s="3"/>
      <c r="E44" s="3"/>
      <c r="F44" s="3"/>
      <c r="G44" s="3"/>
      <c r="H44" s="3"/>
      <c r="I44" s="3"/>
      <c r="J44" s="3"/>
      <c r="K44" s="3"/>
      <c r="L44" s="3"/>
      <c r="M44" s="3"/>
      <c r="N44" s="3"/>
      <c r="O44" s="3"/>
      <c r="P44" s="3"/>
      <c r="Q44" s="3"/>
    </row>
    <row r="45" customFormat="false" ht="18" hidden="false" customHeight="true" outlineLevel="0" collapsed="false">
      <c r="A45" s="3"/>
      <c r="B45" s="3"/>
      <c r="C45" s="3"/>
      <c r="D45" s="3"/>
      <c r="E45" s="3"/>
      <c r="F45" s="3"/>
      <c r="G45" s="3"/>
      <c r="H45" s="3"/>
      <c r="I45" s="3"/>
      <c r="J45" s="3"/>
      <c r="K45" s="3"/>
      <c r="L45" s="3"/>
      <c r="M45" s="3"/>
      <c r="N45" s="3"/>
      <c r="O45" s="3"/>
      <c r="P45" s="3"/>
      <c r="Q45" s="3"/>
    </row>
    <row r="46" customFormat="false" ht="18" hidden="false" customHeight="true" outlineLevel="0" collapsed="false">
      <c r="A46" s="3"/>
      <c r="B46" s="3"/>
      <c r="C46" s="3"/>
      <c r="D46" s="3"/>
      <c r="E46" s="3"/>
      <c r="F46" s="3"/>
      <c r="G46" s="3"/>
      <c r="H46" s="3"/>
      <c r="I46" s="3"/>
      <c r="J46" s="3"/>
      <c r="K46" s="3"/>
      <c r="L46" s="3"/>
      <c r="M46" s="3"/>
      <c r="N46" s="3"/>
      <c r="O46" s="3"/>
      <c r="P46" s="3"/>
      <c r="Q46" s="3"/>
    </row>
    <row r="47" customFormat="false" ht="18" hidden="false" customHeight="true" outlineLevel="0" collapsed="false">
      <c r="A47" s="3"/>
      <c r="B47" s="3"/>
      <c r="C47" s="3"/>
      <c r="D47" s="3"/>
      <c r="E47" s="3"/>
      <c r="F47" s="3"/>
      <c r="G47" s="3"/>
      <c r="H47" s="3"/>
      <c r="I47" s="3"/>
      <c r="J47" s="3"/>
      <c r="K47" s="3"/>
      <c r="L47" s="3"/>
      <c r="M47" s="3"/>
      <c r="N47" s="3"/>
      <c r="O47" s="3"/>
      <c r="P47" s="3"/>
      <c r="Q47" s="3"/>
    </row>
    <row r="48" customFormat="false" ht="18" hidden="false" customHeight="true" outlineLevel="0" collapsed="false">
      <c r="A48" s="3"/>
      <c r="B48" s="3"/>
      <c r="C48" s="3"/>
      <c r="D48" s="3"/>
      <c r="E48" s="3"/>
      <c r="F48" s="3"/>
      <c r="G48" s="3"/>
      <c r="H48" s="3"/>
      <c r="I48" s="3"/>
      <c r="J48" s="3"/>
      <c r="K48" s="3"/>
      <c r="L48" s="3"/>
      <c r="M48" s="3"/>
      <c r="N48" s="3"/>
      <c r="O48" s="3"/>
      <c r="P48" s="3"/>
      <c r="Q48" s="3"/>
    </row>
    <row r="49" customFormat="false" ht="18" hidden="false" customHeight="true" outlineLevel="0" collapsed="false">
      <c r="A49" s="3"/>
      <c r="B49" s="3"/>
      <c r="C49" s="3"/>
      <c r="D49" s="3"/>
      <c r="E49" s="3"/>
      <c r="F49" s="3"/>
      <c r="G49" s="3"/>
      <c r="H49" s="3"/>
      <c r="I49" s="3"/>
      <c r="J49" s="3"/>
      <c r="K49" s="3"/>
      <c r="L49" s="3"/>
      <c r="M49" s="3"/>
      <c r="N49" s="3"/>
      <c r="O49" s="3"/>
      <c r="P49" s="3"/>
      <c r="Q49" s="3"/>
    </row>
    <row r="50" customFormat="false" ht="18" hidden="false" customHeight="true" outlineLevel="0" collapsed="false">
      <c r="A50" s="3"/>
      <c r="B50" s="3"/>
      <c r="C50" s="3"/>
      <c r="D50" s="3"/>
      <c r="E50" s="3"/>
      <c r="F50" s="3"/>
      <c r="G50" s="3"/>
      <c r="H50" s="3"/>
      <c r="I50" s="3"/>
      <c r="J50" s="3"/>
      <c r="K50" s="3"/>
      <c r="L50" s="3"/>
      <c r="M50" s="3"/>
      <c r="N50" s="3"/>
      <c r="O50" s="3"/>
      <c r="P50" s="3"/>
      <c r="Q50" s="3"/>
    </row>
    <row r="51" customFormat="false" ht="18" hidden="false" customHeight="true" outlineLevel="0" collapsed="false">
      <c r="A51" s="3"/>
      <c r="B51" s="3"/>
      <c r="C51" s="3"/>
      <c r="D51" s="3"/>
      <c r="E51" s="3"/>
      <c r="F51" s="3"/>
      <c r="G51" s="3"/>
      <c r="H51" s="3"/>
      <c r="I51" s="3"/>
      <c r="J51" s="3"/>
      <c r="K51" s="3"/>
      <c r="L51" s="3"/>
      <c r="M51" s="3"/>
      <c r="N51" s="3"/>
      <c r="O51" s="3"/>
      <c r="P51" s="3"/>
      <c r="Q51" s="3"/>
    </row>
    <row r="52" customFormat="false" ht="18" hidden="false" customHeight="true" outlineLevel="0" collapsed="false">
      <c r="A52" s="3"/>
      <c r="B52" s="3"/>
      <c r="C52" s="3"/>
      <c r="D52" s="3"/>
      <c r="E52" s="3"/>
      <c r="F52" s="3"/>
      <c r="G52" s="3"/>
      <c r="H52" s="3"/>
      <c r="I52" s="3"/>
      <c r="J52" s="3"/>
      <c r="K52" s="3"/>
      <c r="L52" s="3"/>
      <c r="M52" s="3"/>
      <c r="N52" s="3"/>
      <c r="O52" s="3"/>
      <c r="P52" s="3"/>
      <c r="Q52" s="3"/>
    </row>
    <row r="53" customFormat="false" ht="18" hidden="false" customHeight="true" outlineLevel="0" collapsed="false">
      <c r="A53" s="3"/>
      <c r="B53" s="3"/>
      <c r="C53" s="3"/>
      <c r="D53" s="3"/>
      <c r="E53" s="3"/>
      <c r="F53" s="3"/>
      <c r="G53" s="3"/>
      <c r="H53" s="3"/>
      <c r="I53" s="3"/>
      <c r="J53" s="3"/>
      <c r="K53" s="3"/>
      <c r="L53" s="3"/>
      <c r="M53" s="3"/>
      <c r="N53" s="3"/>
      <c r="O53" s="3"/>
      <c r="P53" s="3"/>
      <c r="Q53" s="3"/>
    </row>
    <row r="54" customFormat="false" ht="18" hidden="false" customHeight="true" outlineLevel="0" collapsed="false">
      <c r="A54" s="3"/>
      <c r="B54" s="3"/>
      <c r="C54" s="3"/>
      <c r="D54" s="3"/>
      <c r="E54" s="3"/>
      <c r="F54" s="3"/>
      <c r="G54" s="3"/>
      <c r="H54" s="3"/>
      <c r="I54" s="3"/>
      <c r="J54" s="3"/>
      <c r="K54" s="3"/>
      <c r="L54" s="3"/>
      <c r="M54" s="3"/>
      <c r="N54" s="3"/>
      <c r="O54" s="3"/>
      <c r="P54" s="3"/>
      <c r="Q54" s="3"/>
    </row>
    <row r="55" customFormat="false" ht="18" hidden="false" customHeight="true" outlineLevel="0" collapsed="false">
      <c r="A55" s="3"/>
      <c r="B55" s="3"/>
      <c r="C55" s="3"/>
      <c r="D55" s="3"/>
      <c r="E55" s="3"/>
      <c r="F55" s="3"/>
      <c r="G55" s="3"/>
      <c r="H55" s="3"/>
      <c r="I55" s="3"/>
      <c r="J55" s="3"/>
      <c r="K55" s="3"/>
      <c r="L55" s="3"/>
      <c r="M55" s="3"/>
      <c r="N55" s="3"/>
      <c r="O55" s="3"/>
      <c r="P55" s="3"/>
      <c r="Q55" s="3"/>
    </row>
    <row r="56" customFormat="false" ht="18" hidden="false" customHeight="true" outlineLevel="0" collapsed="false">
      <c r="A56" s="3"/>
      <c r="B56" s="3"/>
      <c r="C56" s="3"/>
      <c r="D56" s="3"/>
      <c r="E56" s="3"/>
      <c r="F56" s="3"/>
      <c r="G56" s="3"/>
      <c r="H56" s="3"/>
      <c r="I56" s="3"/>
      <c r="J56" s="3"/>
      <c r="K56" s="3"/>
      <c r="L56" s="3"/>
      <c r="M56" s="3"/>
      <c r="N56" s="3"/>
      <c r="O56" s="3"/>
      <c r="P56" s="3"/>
      <c r="Q56" s="3"/>
    </row>
    <row r="57" customFormat="false" ht="18" hidden="false" customHeight="true" outlineLevel="0" collapsed="false">
      <c r="A57" s="3"/>
      <c r="B57" s="3"/>
      <c r="C57" s="3"/>
      <c r="D57" s="3"/>
      <c r="E57" s="3"/>
      <c r="F57" s="3"/>
      <c r="G57" s="3"/>
      <c r="H57" s="3"/>
      <c r="I57" s="3"/>
      <c r="J57" s="3"/>
      <c r="K57" s="3"/>
      <c r="L57" s="3"/>
      <c r="M57" s="3"/>
      <c r="N57" s="3"/>
      <c r="O57" s="3"/>
      <c r="P57" s="3"/>
      <c r="Q57" s="3"/>
    </row>
    <row r="58" customFormat="false" ht="18" hidden="false" customHeight="true" outlineLevel="0" collapsed="false">
      <c r="A58" s="3"/>
      <c r="B58" s="3"/>
      <c r="C58" s="3"/>
      <c r="D58" s="3"/>
      <c r="E58" s="3"/>
      <c r="F58" s="3"/>
      <c r="G58" s="3"/>
      <c r="H58" s="3"/>
      <c r="I58" s="3"/>
      <c r="J58" s="3"/>
      <c r="K58" s="3"/>
      <c r="L58" s="3"/>
      <c r="M58" s="3"/>
      <c r="N58" s="3"/>
      <c r="O58" s="3"/>
      <c r="P58" s="3"/>
      <c r="Q58" s="3"/>
    </row>
    <row r="59" customFormat="false" ht="18" hidden="false" customHeight="true" outlineLevel="0" collapsed="false">
      <c r="A59" s="3"/>
      <c r="B59" s="3"/>
      <c r="C59" s="3"/>
      <c r="D59" s="3"/>
      <c r="E59" s="3"/>
      <c r="F59" s="3"/>
      <c r="G59" s="3"/>
      <c r="H59" s="3"/>
      <c r="I59" s="3"/>
      <c r="J59" s="3"/>
      <c r="K59" s="3"/>
      <c r="L59" s="3"/>
      <c r="M59" s="3"/>
      <c r="N59" s="3"/>
      <c r="O59" s="3"/>
      <c r="P59" s="3"/>
      <c r="Q59" s="3"/>
    </row>
    <row r="60" customFormat="false" ht="18" hidden="false" customHeight="true" outlineLevel="0" collapsed="false">
      <c r="A60" s="22" t="s">
        <v>16</v>
      </c>
      <c r="B60" s="22"/>
      <c r="C60" s="22"/>
      <c r="D60" s="22"/>
      <c r="E60" s="22"/>
      <c r="F60" s="22"/>
      <c r="G60" s="22"/>
      <c r="H60" s="22"/>
      <c r="I60" s="22"/>
      <c r="J60" s="22"/>
      <c r="K60" s="22"/>
      <c r="L60" s="22"/>
      <c r="M60" s="22"/>
      <c r="N60" s="22"/>
      <c r="O60" s="22"/>
      <c r="P60" s="22"/>
      <c r="Q60" s="22"/>
    </row>
    <row r="61" customFormat="false" ht="18" hidden="false" customHeight="true" outlineLevel="0" collapsed="false">
      <c r="A61" s="3"/>
      <c r="B61" s="3"/>
      <c r="C61" s="3"/>
      <c r="D61" s="3"/>
      <c r="E61" s="3"/>
      <c r="F61" s="3"/>
      <c r="G61" s="3"/>
      <c r="H61" s="3"/>
      <c r="I61" s="3"/>
      <c r="J61" s="4" t="s">
        <v>17</v>
      </c>
      <c r="K61" s="4"/>
      <c r="L61" s="4"/>
      <c r="M61" s="4"/>
      <c r="N61" s="4"/>
      <c r="O61" s="4"/>
      <c r="P61" s="4"/>
      <c r="Q61" s="4"/>
    </row>
    <row r="62" customFormat="false" ht="18" hidden="false" customHeight="true" outlineLevel="0" collapsed="false">
      <c r="A62" s="3"/>
      <c r="B62" s="3"/>
      <c r="C62" s="3"/>
      <c r="D62" s="3"/>
      <c r="E62" s="3"/>
      <c r="F62" s="3"/>
      <c r="G62" s="3"/>
      <c r="H62" s="3"/>
      <c r="I62" s="3"/>
      <c r="J62" s="23" t="s">
        <v>18</v>
      </c>
      <c r="K62" s="23"/>
      <c r="L62" s="23"/>
      <c r="M62" s="23" t="s">
        <v>19</v>
      </c>
      <c r="N62" s="23"/>
      <c r="O62" s="23"/>
      <c r="P62" s="23" t="s">
        <v>20</v>
      </c>
      <c r="Q62" s="23"/>
    </row>
    <row r="63" customFormat="false" ht="18" hidden="false" customHeight="true" outlineLevel="0" collapsed="false">
      <c r="A63" s="3"/>
      <c r="B63" s="3"/>
      <c r="C63" s="3"/>
      <c r="D63" s="3"/>
      <c r="E63" s="3"/>
      <c r="F63" s="3"/>
      <c r="G63" s="3"/>
      <c r="H63" s="3"/>
      <c r="I63" s="3"/>
      <c r="J63" s="24" t="s">
        <v>21</v>
      </c>
      <c r="K63" s="24"/>
      <c r="L63" s="24"/>
      <c r="M63" s="24" t="s">
        <v>22</v>
      </c>
      <c r="N63" s="24"/>
      <c r="O63" s="24"/>
      <c r="P63" s="25" t="n">
        <f aca="false">Co_occurrence!C3</f>
        <v>8</v>
      </c>
      <c r="Q63" s="25"/>
    </row>
    <row r="64" customFormat="false" ht="18" hidden="false" customHeight="true" outlineLevel="0" collapsed="false">
      <c r="A64" s="3"/>
      <c r="B64" s="3"/>
      <c r="C64" s="3"/>
      <c r="D64" s="3"/>
      <c r="E64" s="3"/>
      <c r="F64" s="3"/>
      <c r="G64" s="3"/>
      <c r="H64" s="3"/>
      <c r="I64" s="3"/>
      <c r="J64" s="26" t="s">
        <v>21</v>
      </c>
      <c r="K64" s="26"/>
      <c r="L64" s="26"/>
      <c r="M64" s="26" t="s">
        <v>23</v>
      </c>
      <c r="N64" s="26"/>
      <c r="O64" s="26"/>
      <c r="P64" s="27" t="n">
        <f aca="false">Co_occurrence!W3</f>
        <v>6</v>
      </c>
      <c r="Q64" s="27"/>
    </row>
    <row r="65" customFormat="false" ht="18" hidden="false" customHeight="true" outlineLevel="0" collapsed="false">
      <c r="A65" s="3"/>
      <c r="B65" s="3"/>
      <c r="C65" s="3"/>
      <c r="D65" s="3"/>
      <c r="E65" s="3"/>
      <c r="F65" s="3"/>
      <c r="G65" s="3"/>
      <c r="H65" s="3"/>
      <c r="I65" s="3"/>
      <c r="J65" s="24" t="s">
        <v>24</v>
      </c>
      <c r="K65" s="24"/>
      <c r="L65" s="24"/>
      <c r="M65" s="24" t="s">
        <v>25</v>
      </c>
      <c r="N65" s="24"/>
      <c r="O65" s="24"/>
      <c r="P65" s="25" t="n">
        <f aca="false">Co_occurrence!E5</f>
        <v>5</v>
      </c>
      <c r="Q65" s="25"/>
    </row>
    <row r="66" customFormat="false" ht="18" hidden="false" customHeight="true" outlineLevel="0" collapsed="false">
      <c r="A66" s="3"/>
      <c r="B66" s="3"/>
      <c r="C66" s="3"/>
      <c r="D66" s="3"/>
      <c r="E66" s="3"/>
      <c r="F66" s="3"/>
      <c r="G66" s="3"/>
      <c r="H66" s="3"/>
      <c r="I66" s="3"/>
      <c r="J66" s="26" t="s">
        <v>26</v>
      </c>
      <c r="K66" s="26"/>
      <c r="L66" s="26"/>
      <c r="M66" s="26" t="s">
        <v>27</v>
      </c>
      <c r="N66" s="26"/>
      <c r="O66" s="26"/>
      <c r="P66" s="27" t="n">
        <f aca="false">Co_occurrence!K11</f>
        <v>5</v>
      </c>
      <c r="Q66" s="27"/>
    </row>
    <row r="67" customFormat="false" ht="18" hidden="false" customHeight="true" outlineLevel="0" collapsed="false">
      <c r="A67" s="3"/>
      <c r="B67" s="3"/>
      <c r="C67" s="3"/>
      <c r="D67" s="3"/>
      <c r="E67" s="3"/>
      <c r="F67" s="3"/>
      <c r="G67" s="3"/>
      <c r="H67" s="3"/>
      <c r="I67" s="3"/>
      <c r="J67" s="24" t="s">
        <v>28</v>
      </c>
      <c r="K67" s="24"/>
      <c r="L67" s="24"/>
      <c r="M67" s="24" t="s">
        <v>29</v>
      </c>
      <c r="N67" s="24"/>
      <c r="O67" s="24"/>
      <c r="P67" s="25" t="n">
        <f aca="false">Co_occurrence!Q16</f>
        <v>4</v>
      </c>
      <c r="Q67" s="25"/>
    </row>
    <row r="68" customFormat="false" ht="18" hidden="false" customHeight="true" outlineLevel="0" collapsed="false">
      <c r="A68" s="3"/>
      <c r="B68" s="3"/>
      <c r="C68" s="3"/>
      <c r="D68" s="3"/>
      <c r="E68" s="3"/>
      <c r="F68" s="3"/>
      <c r="G68" s="3"/>
      <c r="H68" s="3"/>
      <c r="I68" s="3"/>
      <c r="J68" s="26" t="s">
        <v>25</v>
      </c>
      <c r="K68" s="26"/>
      <c r="L68" s="26"/>
      <c r="M68" s="26" t="s">
        <v>30</v>
      </c>
      <c r="N68" s="26"/>
      <c r="O68" s="26"/>
      <c r="P68" s="27" t="n">
        <f aca="false">Co_occurrence!F6</f>
        <v>4</v>
      </c>
      <c r="Q68" s="27"/>
    </row>
    <row r="69" customFormat="false" ht="18" hidden="false" customHeight="true" outlineLevel="0" collapsed="false">
      <c r="A69" s="3"/>
      <c r="B69" s="3"/>
      <c r="C69" s="3"/>
      <c r="D69" s="3"/>
      <c r="E69" s="3"/>
      <c r="F69" s="3"/>
      <c r="G69" s="3"/>
      <c r="H69" s="3"/>
      <c r="I69" s="3"/>
      <c r="J69" s="24" t="s">
        <v>26</v>
      </c>
      <c r="K69" s="24"/>
      <c r="L69" s="24"/>
      <c r="M69" s="24" t="s">
        <v>23</v>
      </c>
      <c r="N69" s="24"/>
      <c r="O69" s="24"/>
      <c r="P69" s="25" t="n">
        <f aca="false">Co_occurrence!W11</f>
        <v>4</v>
      </c>
      <c r="Q69" s="25"/>
    </row>
    <row r="70" customFormat="false" ht="18" hidden="false" customHeight="true" outlineLevel="0" collapsed="false">
      <c r="A70" s="3"/>
      <c r="B70" s="3"/>
      <c r="C70" s="3"/>
      <c r="D70" s="3"/>
      <c r="E70" s="3"/>
      <c r="F70" s="3"/>
      <c r="G70" s="3"/>
      <c r="H70" s="3"/>
      <c r="I70" s="3"/>
      <c r="J70" s="26" t="s">
        <v>31</v>
      </c>
      <c r="K70" s="26"/>
      <c r="L70" s="26"/>
      <c r="M70" s="26" t="s">
        <v>23</v>
      </c>
      <c r="N70" s="26"/>
      <c r="O70" s="26"/>
      <c r="P70" s="27" t="n">
        <f aca="false">Co_occurrence!W23</f>
        <v>3</v>
      </c>
      <c r="Q70" s="27"/>
    </row>
    <row r="71" customFormat="false" ht="18" hidden="false" customHeight="true" outlineLevel="0" collapsed="false">
      <c r="A71" s="3"/>
      <c r="B71" s="3"/>
      <c r="C71" s="3"/>
      <c r="D71" s="3"/>
      <c r="E71" s="3"/>
      <c r="F71" s="3"/>
      <c r="G71" s="3"/>
      <c r="H71" s="3"/>
      <c r="I71" s="3"/>
      <c r="J71" s="24" t="s">
        <v>21</v>
      </c>
      <c r="K71" s="24"/>
      <c r="L71" s="24"/>
      <c r="M71" s="24" t="s">
        <v>32</v>
      </c>
      <c r="N71" s="24"/>
      <c r="O71" s="24"/>
      <c r="P71" s="25" t="n">
        <f aca="false">Co_occurrence!R3</f>
        <v>3</v>
      </c>
      <c r="Q71" s="25"/>
    </row>
    <row r="72" customFormat="false" ht="18" hidden="false" customHeight="true" outlineLevel="0" collapsed="false">
      <c r="A72" s="3"/>
      <c r="B72" s="3"/>
      <c r="C72" s="3"/>
      <c r="D72" s="3"/>
      <c r="E72" s="3"/>
      <c r="F72" s="3"/>
      <c r="G72" s="3"/>
      <c r="H72" s="3"/>
      <c r="I72" s="3"/>
      <c r="J72" s="26" t="s">
        <v>21</v>
      </c>
      <c r="K72" s="26"/>
      <c r="L72" s="26"/>
      <c r="M72" s="26" t="s">
        <v>26</v>
      </c>
      <c r="N72" s="26"/>
      <c r="O72" s="26"/>
      <c r="P72" s="27" t="n">
        <f aca="false">Co_occurrence!J3</f>
        <v>3</v>
      </c>
      <c r="Q72" s="27"/>
    </row>
    <row r="73" customFormat="false" ht="18" hidden="false" customHeight="true" outlineLevel="0" collapsed="false">
      <c r="A73" s="3"/>
      <c r="B73" s="3"/>
      <c r="C73" s="3"/>
      <c r="D73" s="3"/>
      <c r="E73" s="3"/>
      <c r="F73" s="3"/>
      <c r="G73" s="3"/>
      <c r="H73" s="3"/>
      <c r="I73" s="3"/>
      <c r="J73" s="3"/>
      <c r="K73" s="3"/>
      <c r="L73" s="3"/>
      <c r="M73" s="3"/>
      <c r="N73" s="3"/>
      <c r="O73" s="3"/>
      <c r="P73" s="3"/>
      <c r="Q73" s="3"/>
    </row>
    <row r="74" customFormat="false" ht="18" hidden="false" customHeight="true" outlineLevel="0" collapsed="false">
      <c r="A74" s="3"/>
      <c r="B74" s="3"/>
      <c r="C74" s="3"/>
      <c r="D74" s="3"/>
      <c r="E74" s="3"/>
      <c r="F74" s="3"/>
      <c r="G74" s="3"/>
      <c r="H74" s="3"/>
      <c r="I74" s="3"/>
      <c r="J74" s="3"/>
      <c r="K74" s="3"/>
      <c r="L74" s="3"/>
      <c r="M74" s="3"/>
      <c r="N74" s="3"/>
      <c r="O74" s="3"/>
      <c r="P74" s="3"/>
      <c r="Q74" s="3"/>
    </row>
    <row r="75" customFormat="false" ht="18" hidden="false" customHeight="true" outlineLevel="0" collapsed="false">
      <c r="A75" s="3"/>
      <c r="B75" s="3"/>
      <c r="C75" s="3"/>
      <c r="D75" s="3"/>
      <c r="E75" s="3"/>
      <c r="F75" s="3"/>
      <c r="G75" s="3"/>
      <c r="H75" s="3"/>
      <c r="I75" s="3"/>
      <c r="J75" s="3"/>
      <c r="K75" s="3"/>
      <c r="L75" s="3"/>
      <c r="M75" s="3"/>
      <c r="N75" s="3"/>
      <c r="O75" s="3"/>
      <c r="P75" s="3"/>
      <c r="Q75" s="3"/>
    </row>
    <row r="76" customFormat="false" ht="18" hidden="false" customHeight="true" outlineLevel="0" collapsed="false">
      <c r="A76" s="3"/>
      <c r="B76" s="3"/>
      <c r="C76" s="3"/>
      <c r="D76" s="3"/>
      <c r="E76" s="3"/>
      <c r="F76" s="3"/>
      <c r="G76" s="3"/>
      <c r="H76" s="3"/>
      <c r="I76" s="3"/>
      <c r="J76" s="3"/>
      <c r="K76" s="3"/>
      <c r="L76" s="3"/>
      <c r="M76" s="3"/>
      <c r="N76" s="3"/>
      <c r="O76" s="3"/>
      <c r="P76" s="3"/>
      <c r="Q76" s="3"/>
    </row>
    <row r="77" customFormat="false" ht="18" hidden="false" customHeight="true" outlineLevel="0" collapsed="false">
      <c r="A77" s="3"/>
      <c r="B77" s="3"/>
      <c r="C77" s="3"/>
      <c r="D77" s="3"/>
      <c r="E77" s="3"/>
      <c r="F77" s="3"/>
      <c r="G77" s="3"/>
      <c r="H77" s="3"/>
      <c r="I77" s="3"/>
      <c r="J77" s="3"/>
      <c r="K77" s="3"/>
      <c r="L77" s="3"/>
      <c r="M77" s="3"/>
      <c r="N77" s="3"/>
      <c r="O77" s="3"/>
      <c r="P77" s="3"/>
      <c r="Q77" s="3"/>
    </row>
    <row r="78" customFormat="false" ht="18" hidden="false" customHeight="true" outlineLevel="0" collapsed="false">
      <c r="A78" s="3"/>
      <c r="B78" s="3"/>
      <c r="C78" s="3"/>
      <c r="D78" s="3"/>
      <c r="E78" s="3"/>
      <c r="F78" s="3"/>
      <c r="G78" s="3"/>
      <c r="H78" s="3"/>
      <c r="I78" s="3"/>
      <c r="J78" s="3"/>
      <c r="K78" s="3"/>
      <c r="L78" s="3"/>
      <c r="M78" s="3"/>
      <c r="N78" s="3"/>
      <c r="O78" s="3"/>
      <c r="P78" s="3"/>
      <c r="Q78" s="3"/>
    </row>
    <row r="79" customFormat="false" ht="18" hidden="false" customHeight="true" outlineLevel="0" collapsed="false">
      <c r="A79" s="3"/>
      <c r="B79" s="3"/>
      <c r="C79" s="3"/>
      <c r="D79" s="3"/>
      <c r="E79" s="3"/>
      <c r="F79" s="3"/>
      <c r="G79" s="3"/>
      <c r="H79" s="3"/>
      <c r="I79" s="3"/>
      <c r="J79" s="3"/>
      <c r="K79" s="3"/>
      <c r="L79" s="3"/>
      <c r="M79" s="3"/>
      <c r="N79" s="3"/>
      <c r="O79" s="3"/>
      <c r="P79" s="3"/>
      <c r="Q79" s="3"/>
    </row>
    <row r="80" customFormat="false" ht="18" hidden="false" customHeight="true" outlineLevel="0" collapsed="false">
      <c r="A80" s="3"/>
      <c r="B80" s="3"/>
      <c r="C80" s="3"/>
      <c r="D80" s="3"/>
      <c r="E80" s="3"/>
      <c r="F80" s="3"/>
      <c r="G80" s="3"/>
      <c r="H80" s="3"/>
      <c r="I80" s="3"/>
      <c r="J80" s="3"/>
      <c r="K80" s="3"/>
      <c r="L80" s="3"/>
      <c r="M80" s="3"/>
      <c r="N80" s="3"/>
      <c r="O80" s="3"/>
      <c r="P80" s="3"/>
      <c r="Q80" s="3"/>
    </row>
    <row r="81" customFormat="false" ht="18" hidden="false" customHeight="true" outlineLevel="0" collapsed="false">
      <c r="A81" s="3"/>
      <c r="B81" s="3"/>
      <c r="C81" s="3"/>
      <c r="D81" s="3"/>
      <c r="E81" s="3"/>
      <c r="F81" s="3"/>
      <c r="G81" s="3"/>
      <c r="H81" s="3"/>
      <c r="I81" s="3"/>
      <c r="J81" s="3"/>
      <c r="K81" s="3"/>
      <c r="L81" s="3"/>
      <c r="M81" s="3"/>
      <c r="N81" s="3"/>
      <c r="O81" s="3"/>
      <c r="P81" s="3"/>
      <c r="Q81" s="3"/>
    </row>
    <row r="82" customFormat="false" ht="18" hidden="false" customHeight="true" outlineLevel="0" collapsed="false">
      <c r="A82" s="28" t="s">
        <v>33</v>
      </c>
      <c r="B82" s="28"/>
      <c r="C82" s="28"/>
      <c r="D82" s="28"/>
      <c r="E82" s="28"/>
      <c r="F82" s="28"/>
      <c r="G82" s="28"/>
      <c r="H82" s="28"/>
      <c r="I82" s="28"/>
      <c r="J82" s="28"/>
      <c r="K82" s="28"/>
      <c r="L82" s="28"/>
      <c r="M82" s="28"/>
      <c r="N82" s="28"/>
      <c r="O82" s="28"/>
      <c r="P82" s="28"/>
      <c r="Q82" s="28"/>
    </row>
    <row r="83" customFormat="false" ht="18" hidden="false" customHeight="true" outlineLevel="0" collapsed="false">
      <c r="A83" s="28"/>
      <c r="B83" s="28"/>
      <c r="C83" s="28"/>
      <c r="D83" s="28"/>
      <c r="E83" s="28"/>
      <c r="F83" s="28"/>
      <c r="G83" s="28"/>
      <c r="H83" s="28"/>
      <c r="I83" s="28"/>
      <c r="J83" s="28"/>
      <c r="K83" s="28"/>
      <c r="L83" s="28"/>
      <c r="M83" s="28"/>
      <c r="N83" s="28"/>
      <c r="O83" s="28"/>
      <c r="P83" s="28"/>
      <c r="Q83" s="28"/>
    </row>
    <row r="84" customFormat="false" ht="18" hidden="false" customHeight="true" outlineLevel="0" collapsed="false">
      <c r="A84" s="29" t="s">
        <v>34</v>
      </c>
      <c r="B84" s="29"/>
      <c r="C84" s="29"/>
      <c r="D84" s="29"/>
      <c r="E84" s="29"/>
      <c r="F84" s="29"/>
      <c r="G84" s="29"/>
      <c r="H84" s="29"/>
      <c r="I84" s="29"/>
      <c r="J84" s="29"/>
      <c r="K84" s="29"/>
      <c r="L84" s="29"/>
      <c r="M84" s="29"/>
      <c r="N84" s="29"/>
      <c r="O84" s="29"/>
      <c r="P84" s="29"/>
      <c r="Q84" s="29"/>
    </row>
    <row r="85" customFormat="false" ht="18" hidden="false" customHeight="true" outlineLevel="0" collapsed="false">
      <c r="A85" s="30" t="s">
        <v>35</v>
      </c>
      <c r="B85" s="30"/>
      <c r="C85" s="31" t="s">
        <v>36</v>
      </c>
      <c r="D85" s="31"/>
      <c r="E85" s="32" t="s">
        <v>37</v>
      </c>
      <c r="F85" s="32"/>
      <c r="G85" s="33" t="s">
        <v>38</v>
      </c>
      <c r="H85" s="33"/>
      <c r="I85" s="34" t="s">
        <v>39</v>
      </c>
      <c r="J85" s="34"/>
      <c r="K85" s="35" t="s">
        <v>40</v>
      </c>
      <c r="L85" s="35"/>
      <c r="M85" s="36" t="s">
        <v>41</v>
      </c>
      <c r="N85" s="36"/>
      <c r="O85" s="37" t="s">
        <v>42</v>
      </c>
      <c r="P85" s="37"/>
      <c r="Q85" s="3"/>
    </row>
    <row r="86" customFormat="false" ht="18" hidden="false" customHeight="true" outlineLevel="0" collapsed="false">
      <c r="A86" s="3"/>
      <c r="B86" s="3"/>
      <c r="C86" s="3"/>
      <c r="D86" s="3"/>
      <c r="E86" s="3"/>
      <c r="F86" s="3"/>
      <c r="G86" s="3"/>
      <c r="H86" s="3"/>
      <c r="I86" s="3"/>
      <c r="J86" s="3"/>
      <c r="K86" s="3"/>
      <c r="L86" s="3"/>
      <c r="M86" s="3"/>
      <c r="N86" s="3"/>
      <c r="O86" s="3"/>
      <c r="P86" s="3"/>
      <c r="Q86" s="3"/>
    </row>
    <row r="87" customFormat="false" ht="18" hidden="false" customHeight="true" outlineLevel="0" collapsed="false">
      <c r="A87" s="38" t="s">
        <v>21</v>
      </c>
      <c r="B87" s="38"/>
      <c r="C87" s="38"/>
      <c r="D87" s="38"/>
      <c r="E87" s="38" t="s">
        <v>22</v>
      </c>
      <c r="F87" s="38"/>
      <c r="G87" s="38"/>
      <c r="H87" s="38"/>
      <c r="I87" s="38" t="s">
        <v>24</v>
      </c>
      <c r="J87" s="38"/>
      <c r="K87" s="38"/>
      <c r="L87" s="38"/>
      <c r="M87" s="39" t="s">
        <v>25</v>
      </c>
      <c r="N87" s="39"/>
      <c r="O87" s="39"/>
      <c r="P87" s="39"/>
      <c r="Q87" s="3"/>
    </row>
    <row r="88" customFormat="false" ht="18" hidden="false" customHeight="true" outlineLevel="0" collapsed="false">
      <c r="A88" s="40" t="str">
        <f aca="false">INDEX(Frequencies!$C$2:$C$24,MATCH("LOVE_ROMANCE",Frequencies!$A$2:$A$24,0))&amp;" inscriptions"</f>
        <v>18 inscriptions</v>
      </c>
      <c r="B88" s="40"/>
      <c r="C88" s="40"/>
      <c r="D88" s="40"/>
      <c r="E88" s="40" t="str">
        <f aca="false">INDEX(Frequencies!$C$2:$C$24,MATCH("SEPARATION_LOSS",Frequencies!$A$2:$A$24,0))&amp;" inscriptions"</f>
        <v>8 inscriptions</v>
      </c>
      <c r="F88" s="40"/>
      <c r="G88" s="40"/>
      <c r="H88" s="40"/>
      <c r="I88" s="40" t="str">
        <f aca="false">INDEX(Frequencies!$C$2:$C$24,MATCH("FAMILY",Frequencies!$A$2:$A$24,0))&amp;" inscriptions"</f>
        <v>9 inscriptions</v>
      </c>
      <c r="J88" s="40"/>
      <c r="K88" s="40"/>
      <c r="L88" s="40"/>
      <c r="M88" s="41" t="str">
        <f aca="false">INDEX(Frequencies!$C$2:$C$24,MATCH("MONEY_MATERIALISM",Frequencies!$A$2:$A$24,0))&amp;" inscriptions"</f>
        <v>11 inscriptions</v>
      </c>
      <c r="N88" s="41"/>
      <c r="O88" s="41"/>
      <c r="P88" s="41"/>
      <c r="Q88" s="3"/>
    </row>
    <row r="89" customFormat="false" ht="21.75" hidden="false" customHeight="true" outlineLevel="0" collapsed="false">
      <c r="A89" s="42" t="s">
        <v>43</v>
      </c>
      <c r="B89" s="42"/>
      <c r="C89" s="42"/>
      <c r="D89" s="42"/>
      <c r="E89" s="42" t="s">
        <v>44</v>
      </c>
      <c r="F89" s="42"/>
      <c r="G89" s="42"/>
      <c r="H89" s="42"/>
      <c r="I89" s="42" t="s">
        <v>45</v>
      </c>
      <c r="J89" s="42"/>
      <c r="K89" s="42"/>
      <c r="L89" s="42"/>
      <c r="M89" s="42" t="s">
        <v>46</v>
      </c>
      <c r="N89" s="42"/>
      <c r="O89" s="42"/>
      <c r="P89" s="42"/>
      <c r="Q89" s="3"/>
    </row>
    <row r="90" customFormat="false" ht="21.75" hidden="false" customHeight="true" outlineLevel="0" collapsed="false">
      <c r="A90" s="42"/>
      <c r="B90" s="42"/>
      <c r="C90" s="42"/>
      <c r="D90" s="42"/>
      <c r="E90" s="42"/>
      <c r="F90" s="42"/>
      <c r="G90" s="42"/>
      <c r="H90" s="42"/>
      <c r="I90" s="42"/>
      <c r="J90" s="42"/>
      <c r="K90" s="42"/>
      <c r="L90" s="42"/>
      <c r="M90" s="42"/>
      <c r="N90" s="42"/>
      <c r="O90" s="42"/>
      <c r="P90" s="42"/>
      <c r="Q90" s="3"/>
    </row>
    <row r="91" customFormat="false" ht="18" hidden="false" customHeight="true" outlineLevel="0" collapsed="false">
      <c r="A91" s="3"/>
      <c r="B91" s="3"/>
      <c r="C91" s="3"/>
      <c r="D91" s="3"/>
      <c r="E91" s="3"/>
      <c r="F91" s="3"/>
      <c r="G91" s="3"/>
      <c r="H91" s="3"/>
      <c r="I91" s="3"/>
      <c r="J91" s="3"/>
      <c r="K91" s="3"/>
      <c r="L91" s="3"/>
      <c r="M91" s="3"/>
      <c r="N91" s="3"/>
      <c r="O91" s="3"/>
      <c r="P91" s="3"/>
      <c r="Q91" s="3"/>
    </row>
    <row r="92" customFormat="false" ht="18" hidden="false" customHeight="true" outlineLevel="0" collapsed="false">
      <c r="A92" s="39" t="s">
        <v>30</v>
      </c>
      <c r="B92" s="39"/>
      <c r="C92" s="39"/>
      <c r="D92" s="39"/>
      <c r="E92" s="39" t="s">
        <v>47</v>
      </c>
      <c r="F92" s="39"/>
      <c r="G92" s="39"/>
      <c r="H92" s="39"/>
      <c r="I92" s="39" t="s">
        <v>48</v>
      </c>
      <c r="J92" s="39"/>
      <c r="K92" s="39"/>
      <c r="L92" s="39"/>
      <c r="M92" s="39" t="s">
        <v>49</v>
      </c>
      <c r="N92" s="39"/>
      <c r="O92" s="39"/>
      <c r="P92" s="39"/>
      <c r="Q92" s="3"/>
    </row>
    <row r="93" customFormat="false" ht="18" hidden="false" customHeight="true" outlineLevel="0" collapsed="false">
      <c r="A93" s="41" t="str">
        <f aca="false">INDEX(Frequencies!$C$2:$C$24,MATCH("CLASS_INEQUALITY_CRITIQUE",Frequencies!$A$2:$A$24,0))&amp;" inscriptions"</f>
        <v>7 inscriptions</v>
      </c>
      <c r="B93" s="41"/>
      <c r="C93" s="41"/>
      <c r="D93" s="41"/>
      <c r="E93" s="41" t="str">
        <f aca="false">INDEX(Frequencies!$C$2:$C$24,MATCH("CONSUMER_STATUS",Frequencies!$A$2:$A$24,0))&amp;" inscriptions"</f>
        <v>2 inscriptions</v>
      </c>
      <c r="F93" s="41"/>
      <c r="G93" s="41"/>
      <c r="H93" s="41"/>
      <c r="I93" s="41" t="str">
        <f aca="false">INDEX(Frequencies!$C$2:$C$24,MATCH("MIGRATION",Frequencies!$A$2:$A$24,0))&amp;" inscriptions"</f>
        <v>4 inscriptions</v>
      </c>
      <c r="J93" s="41"/>
      <c r="K93" s="41"/>
      <c r="L93" s="41"/>
      <c r="M93" s="41" t="str">
        <f aca="false">INDEX(Frequencies!$C$2:$C$24,MATCH("EDUCATION",Frequencies!$A$2:$A$24,0))&amp;" inscriptions"</f>
        <v>1 inscriptions</v>
      </c>
      <c r="N93" s="41"/>
      <c r="O93" s="41"/>
      <c r="P93" s="41"/>
      <c r="Q93" s="3"/>
    </row>
    <row r="94" customFormat="false" ht="21.75" hidden="false" customHeight="true" outlineLevel="0" collapsed="false">
      <c r="A94" s="42" t="s">
        <v>50</v>
      </c>
      <c r="B94" s="42"/>
      <c r="C94" s="42"/>
      <c r="D94" s="42"/>
      <c r="E94" s="42" t="s">
        <v>51</v>
      </c>
      <c r="F94" s="42"/>
      <c r="G94" s="42"/>
      <c r="H94" s="42"/>
      <c r="I94" s="42" t="s">
        <v>52</v>
      </c>
      <c r="J94" s="42"/>
      <c r="K94" s="42"/>
      <c r="L94" s="42"/>
      <c r="M94" s="42" t="s">
        <v>53</v>
      </c>
      <c r="N94" s="42"/>
      <c r="O94" s="42"/>
      <c r="P94" s="42"/>
      <c r="Q94" s="3"/>
    </row>
    <row r="95" customFormat="false" ht="21.75" hidden="false" customHeight="true" outlineLevel="0" collapsed="false">
      <c r="A95" s="42"/>
      <c r="B95" s="42"/>
      <c r="C95" s="42"/>
      <c r="D95" s="42"/>
      <c r="E95" s="42"/>
      <c r="F95" s="42"/>
      <c r="G95" s="42"/>
      <c r="H95" s="42"/>
      <c r="I95" s="42"/>
      <c r="J95" s="42"/>
      <c r="K95" s="42"/>
      <c r="L95" s="42"/>
      <c r="M95" s="42"/>
      <c r="N95" s="42"/>
      <c r="O95" s="42"/>
      <c r="P95" s="42"/>
      <c r="Q95" s="3"/>
    </row>
    <row r="96" customFormat="false" ht="18" hidden="false" customHeight="true" outlineLevel="0" collapsed="false">
      <c r="A96" s="3"/>
      <c r="B96" s="3"/>
      <c r="C96" s="3"/>
      <c r="D96" s="3"/>
      <c r="E96" s="3"/>
      <c r="F96" s="3"/>
      <c r="G96" s="3"/>
      <c r="H96" s="3"/>
      <c r="I96" s="3"/>
      <c r="J96" s="3"/>
      <c r="K96" s="3"/>
      <c r="L96" s="3"/>
      <c r="M96" s="3"/>
      <c r="N96" s="3"/>
      <c r="O96" s="3"/>
      <c r="P96" s="3"/>
      <c r="Q96" s="3"/>
    </row>
    <row r="97" customFormat="false" ht="18" hidden="false" customHeight="true" outlineLevel="0" collapsed="false">
      <c r="A97" s="43" t="s">
        <v>26</v>
      </c>
      <c r="B97" s="43"/>
      <c r="C97" s="43"/>
      <c r="D97" s="43"/>
      <c r="E97" s="43" t="s">
        <v>27</v>
      </c>
      <c r="F97" s="43"/>
      <c r="G97" s="43"/>
      <c r="H97" s="43"/>
      <c r="I97" s="43" t="s">
        <v>54</v>
      </c>
      <c r="J97" s="43"/>
      <c r="K97" s="43"/>
      <c r="L97" s="43"/>
      <c r="M97" s="44" t="s">
        <v>55</v>
      </c>
      <c r="N97" s="44"/>
      <c r="O97" s="44"/>
      <c r="P97" s="44"/>
      <c r="Q97" s="3"/>
    </row>
    <row r="98" customFormat="false" ht="18" hidden="false" customHeight="true" outlineLevel="0" collapsed="false">
      <c r="A98" s="45" t="str">
        <f aca="false">INDEX(Frequencies!$C$2:$C$24,MATCH("DRIVER_IDENTITY",Frequencies!$A$2:$A$24,0))&amp;" inscriptions"</f>
        <v>8 inscriptions</v>
      </c>
      <c r="B98" s="45"/>
      <c r="C98" s="45"/>
      <c r="D98" s="45"/>
      <c r="E98" s="45" t="str">
        <f aca="false">INDEX(Frequencies!$C$2:$C$24,MATCH("LABOR_DIGNITY",Frequencies!$A$2:$A$24,0))&amp;" inscriptions"</f>
        <v>8 inscriptions</v>
      </c>
      <c r="F98" s="45"/>
      <c r="G98" s="45"/>
      <c r="H98" s="45"/>
      <c r="I98" s="45" t="str">
        <f aca="false">INDEX(Frequencies!$C$2:$C$24,MATCH("FARE_LIVELIHOOD",Frequencies!$A$2:$A$24,0))&amp;" inscriptions"</f>
        <v>4 inscriptions</v>
      </c>
      <c r="J98" s="45"/>
      <c r="K98" s="45"/>
      <c r="L98" s="45"/>
      <c r="M98" s="46" t="str">
        <f aca="false">INDEX(Frequencies!$C$2:$C$24,MATCH("MASCULINITY",Frequencies!$A$2:$A$24,0))&amp;" inscriptions"</f>
        <v>5 inscriptions</v>
      </c>
      <c r="N98" s="46"/>
      <c r="O98" s="46"/>
      <c r="P98" s="46"/>
      <c r="Q98" s="3"/>
    </row>
    <row r="99" customFormat="false" ht="21.75" hidden="false" customHeight="true" outlineLevel="0" collapsed="false">
      <c r="A99" s="42" t="s">
        <v>56</v>
      </c>
      <c r="B99" s="42"/>
      <c r="C99" s="42"/>
      <c r="D99" s="42"/>
      <c r="E99" s="42" t="s">
        <v>57</v>
      </c>
      <c r="F99" s="42"/>
      <c r="G99" s="42"/>
      <c r="H99" s="42"/>
      <c r="I99" s="42" t="s">
        <v>58</v>
      </c>
      <c r="J99" s="42"/>
      <c r="K99" s="42"/>
      <c r="L99" s="42"/>
      <c r="M99" s="42" t="s">
        <v>59</v>
      </c>
      <c r="N99" s="42"/>
      <c r="O99" s="42"/>
      <c r="P99" s="42"/>
      <c r="Q99" s="3"/>
    </row>
    <row r="100" customFormat="false" ht="21.75" hidden="false" customHeight="true" outlineLevel="0" collapsed="false">
      <c r="A100" s="42"/>
      <c r="B100" s="42"/>
      <c r="C100" s="42"/>
      <c r="D100" s="42"/>
      <c r="E100" s="42"/>
      <c r="F100" s="42"/>
      <c r="G100" s="42"/>
      <c r="H100" s="42"/>
      <c r="I100" s="42"/>
      <c r="J100" s="42"/>
      <c r="K100" s="42"/>
      <c r="L100" s="42"/>
      <c r="M100" s="42"/>
      <c r="N100" s="42"/>
      <c r="O100" s="42"/>
      <c r="P100" s="42"/>
      <c r="Q100" s="3"/>
    </row>
    <row r="101" customFormat="false" ht="18" hidden="false" customHeight="true" outlineLevel="0" collapsed="false">
      <c r="A101" s="3"/>
      <c r="B101" s="3"/>
      <c r="C101" s="3"/>
      <c r="D101" s="3"/>
      <c r="E101" s="3"/>
      <c r="F101" s="3"/>
      <c r="G101" s="3"/>
      <c r="H101" s="3"/>
      <c r="I101" s="3"/>
      <c r="J101" s="3"/>
      <c r="K101" s="3"/>
      <c r="L101" s="3"/>
      <c r="M101" s="3"/>
      <c r="N101" s="3"/>
      <c r="O101" s="3"/>
      <c r="P101" s="3"/>
      <c r="Q101" s="3"/>
    </row>
    <row r="102" customFormat="false" ht="18" hidden="false" customHeight="true" outlineLevel="0" collapsed="false">
      <c r="A102" s="44" t="s">
        <v>60</v>
      </c>
      <c r="B102" s="44"/>
      <c r="C102" s="44"/>
      <c r="D102" s="44"/>
      <c r="E102" s="47" t="s">
        <v>28</v>
      </c>
      <c r="F102" s="47"/>
      <c r="G102" s="47"/>
      <c r="H102" s="47"/>
      <c r="I102" s="47" t="s">
        <v>61</v>
      </c>
      <c r="J102" s="47"/>
      <c r="K102" s="47"/>
      <c r="L102" s="47"/>
      <c r="M102" s="47" t="s">
        <v>29</v>
      </c>
      <c r="N102" s="47"/>
      <c r="O102" s="47"/>
      <c r="P102" s="47"/>
      <c r="Q102" s="3"/>
    </row>
    <row r="103" customFormat="false" ht="18" hidden="false" customHeight="true" outlineLevel="0" collapsed="false">
      <c r="A103" s="46" t="str">
        <f aca="false">INDEX(Frequencies!$C$2:$C$24,MATCH("WOMEN_REPRESENTATION",Frequencies!$A$2:$A$24,0))&amp;" inscriptions"</f>
        <v>4 inscriptions</v>
      </c>
      <c r="B103" s="46"/>
      <c r="C103" s="46"/>
      <c r="D103" s="46"/>
      <c r="E103" s="48" t="str">
        <f aca="false">INDEX(Frequencies!$C$2:$C$24,MATCH("SELF_RESPECT",Frequencies!$A$2:$A$24,0))&amp;" inscriptions"</f>
        <v>10 inscriptions</v>
      </c>
      <c r="F103" s="48"/>
      <c r="G103" s="48"/>
      <c r="H103" s="48"/>
      <c r="I103" s="48" t="str">
        <f aca="false">INDEX(Frequencies!$C$2:$C$24,MATCH("DISTRUST_HYPOCRISY",Frequencies!$A$2:$A$24,0))&amp;" inscriptions"</f>
        <v>7 inscriptions</v>
      </c>
      <c r="J103" s="48"/>
      <c r="K103" s="48"/>
      <c r="L103" s="48"/>
      <c r="M103" s="48" t="str">
        <f aca="false">INDEX(Frequencies!$C$2:$C$24,MATCH("MORAL_ADVICE",Frequencies!$A$2:$A$24,0))&amp;" inscriptions"</f>
        <v>11 inscriptions</v>
      </c>
      <c r="N103" s="48"/>
      <c r="O103" s="48"/>
      <c r="P103" s="48"/>
      <c r="Q103" s="3"/>
    </row>
    <row r="104" customFormat="false" ht="21.75" hidden="false" customHeight="true" outlineLevel="0" collapsed="false">
      <c r="A104" s="42" t="s">
        <v>62</v>
      </c>
      <c r="B104" s="42"/>
      <c r="C104" s="42"/>
      <c r="D104" s="42"/>
      <c r="E104" s="42" t="s">
        <v>63</v>
      </c>
      <c r="F104" s="42"/>
      <c r="G104" s="42"/>
      <c r="H104" s="42"/>
      <c r="I104" s="42" t="s">
        <v>64</v>
      </c>
      <c r="J104" s="42"/>
      <c r="K104" s="42"/>
      <c r="L104" s="42"/>
      <c r="M104" s="42" t="s">
        <v>65</v>
      </c>
      <c r="N104" s="42"/>
      <c r="O104" s="42"/>
      <c r="P104" s="42"/>
      <c r="Q104" s="3"/>
    </row>
    <row r="105" customFormat="false" ht="21.75" hidden="false" customHeight="true" outlineLevel="0" collapsed="false">
      <c r="A105" s="42"/>
      <c r="B105" s="42"/>
      <c r="C105" s="42"/>
      <c r="D105" s="42"/>
      <c r="E105" s="42"/>
      <c r="F105" s="42"/>
      <c r="G105" s="42"/>
      <c r="H105" s="42"/>
      <c r="I105" s="42"/>
      <c r="J105" s="42"/>
      <c r="K105" s="42"/>
      <c r="L105" s="42"/>
      <c r="M105" s="42"/>
      <c r="N105" s="42"/>
      <c r="O105" s="42"/>
      <c r="P105" s="42"/>
      <c r="Q105" s="3"/>
    </row>
    <row r="106" customFormat="false" ht="18" hidden="false" customHeight="true" outlineLevel="0" collapsed="false">
      <c r="A106" s="3"/>
      <c r="B106" s="3"/>
      <c r="C106" s="3"/>
      <c r="D106" s="3"/>
      <c r="E106" s="3"/>
      <c r="F106" s="3"/>
      <c r="G106" s="3"/>
      <c r="H106" s="3"/>
      <c r="I106" s="3"/>
      <c r="J106" s="3"/>
      <c r="K106" s="3"/>
      <c r="L106" s="3"/>
      <c r="M106" s="3"/>
      <c r="N106" s="3"/>
      <c r="O106" s="3"/>
      <c r="P106" s="3"/>
      <c r="Q106" s="3"/>
    </row>
    <row r="107" customFormat="false" ht="18" hidden="false" customHeight="true" outlineLevel="0" collapsed="false">
      <c r="A107" s="47" t="s">
        <v>32</v>
      </c>
      <c r="B107" s="47"/>
      <c r="C107" s="47"/>
      <c r="D107" s="47"/>
      <c r="E107" s="49" t="s">
        <v>66</v>
      </c>
      <c r="F107" s="49"/>
      <c r="G107" s="49"/>
      <c r="H107" s="49"/>
      <c r="I107" s="49" t="s">
        <v>67</v>
      </c>
      <c r="J107" s="49"/>
      <c r="K107" s="49"/>
      <c r="L107" s="49"/>
      <c r="M107" s="50" t="s">
        <v>68</v>
      </c>
      <c r="N107" s="50"/>
      <c r="O107" s="50"/>
      <c r="P107" s="50"/>
      <c r="Q107" s="3"/>
    </row>
    <row r="108" customFormat="false" ht="18" hidden="false" customHeight="true" outlineLevel="0" collapsed="false">
      <c r="A108" s="48" t="str">
        <f aca="false">INDEX(Frequencies!$C$2:$C$24,MATCH("HOPE_RESILIENCE",Frequencies!$A$2:$A$24,0))&amp;" inscriptions"</f>
        <v>10 inscriptions</v>
      </c>
      <c r="B108" s="48"/>
      <c r="C108" s="48"/>
      <c r="D108" s="48"/>
      <c r="E108" s="51" t="str">
        <f aca="false">INDEX(Frequencies!$C$2:$C$24,MATCH("RELIGION_FATE",Frequencies!$A$2:$A$24,0))&amp;" inscriptions"</f>
        <v>4 inscriptions</v>
      </c>
      <c r="F108" s="51"/>
      <c r="G108" s="51"/>
      <c r="H108" s="51"/>
      <c r="I108" s="51" t="str">
        <f aca="false">INDEX(Frequencies!$C$2:$C$24,MATCH("MORTALITY_RISK",Frequencies!$A$2:$A$24,0))&amp;" inscriptions"</f>
        <v>5 inscriptions</v>
      </c>
      <c r="J108" s="51"/>
      <c r="K108" s="51"/>
      <c r="L108" s="51"/>
      <c r="M108" s="52" t="str">
        <f aca="false">INDEX(Frequencies!$C$2:$C$24,MATCH("INSTITUTION_CRITIQUE",Frequencies!$A$2:$A$24,0))&amp;" inscriptions"</f>
        <v>4 inscriptions</v>
      </c>
      <c r="N108" s="52"/>
      <c r="O108" s="52"/>
      <c r="P108" s="52"/>
      <c r="Q108" s="3"/>
    </row>
    <row r="109" customFormat="false" ht="21.75" hidden="false" customHeight="true" outlineLevel="0" collapsed="false">
      <c r="A109" s="42" t="s">
        <v>69</v>
      </c>
      <c r="B109" s="42"/>
      <c r="C109" s="42"/>
      <c r="D109" s="42"/>
      <c r="E109" s="42" t="s">
        <v>70</v>
      </c>
      <c r="F109" s="42"/>
      <c r="G109" s="42"/>
      <c r="H109" s="42"/>
      <c r="I109" s="42" t="s">
        <v>71</v>
      </c>
      <c r="J109" s="42"/>
      <c r="K109" s="42"/>
      <c r="L109" s="42"/>
      <c r="M109" s="42" t="s">
        <v>72</v>
      </c>
      <c r="N109" s="42"/>
      <c r="O109" s="42"/>
      <c r="P109" s="42"/>
      <c r="Q109" s="3"/>
    </row>
    <row r="110" customFormat="false" ht="21.75" hidden="false" customHeight="true" outlineLevel="0" collapsed="false">
      <c r="A110" s="42"/>
      <c r="B110" s="42"/>
      <c r="C110" s="42"/>
      <c r="D110" s="42"/>
      <c r="E110" s="42"/>
      <c r="F110" s="42"/>
      <c r="G110" s="42"/>
      <c r="H110" s="42"/>
      <c r="I110" s="42"/>
      <c r="J110" s="42"/>
      <c r="K110" s="42"/>
      <c r="L110" s="42"/>
      <c r="M110" s="42"/>
      <c r="N110" s="42"/>
      <c r="O110" s="42"/>
      <c r="P110" s="42"/>
      <c r="Q110" s="3"/>
    </row>
    <row r="111" customFormat="false" ht="18" hidden="false" customHeight="true" outlineLevel="0" collapsed="false">
      <c r="A111" s="3"/>
      <c r="B111" s="3"/>
      <c r="C111" s="3"/>
      <c r="D111" s="3"/>
      <c r="E111" s="3"/>
      <c r="F111" s="3"/>
      <c r="G111" s="3"/>
      <c r="H111" s="3"/>
      <c r="I111" s="3"/>
      <c r="J111" s="3"/>
      <c r="K111" s="3"/>
      <c r="L111" s="3"/>
      <c r="M111" s="3"/>
      <c r="N111" s="3"/>
      <c r="O111" s="3"/>
      <c r="P111" s="3"/>
      <c r="Q111" s="3"/>
    </row>
    <row r="112" customFormat="false" ht="18" hidden="false" customHeight="true" outlineLevel="0" collapsed="false">
      <c r="A112" s="50" t="s">
        <v>31</v>
      </c>
      <c r="B112" s="50"/>
      <c r="C112" s="50"/>
      <c r="D112" s="50"/>
      <c r="E112" s="53" t="s">
        <v>23</v>
      </c>
      <c r="F112" s="53"/>
      <c r="G112" s="53"/>
      <c r="H112" s="53"/>
      <c r="I112" s="53" t="s">
        <v>73</v>
      </c>
      <c r="J112" s="53"/>
      <c r="K112" s="53"/>
      <c r="L112" s="53"/>
      <c r="M112" s="3"/>
      <c r="N112" s="3"/>
      <c r="O112" s="3"/>
      <c r="P112" s="3"/>
      <c r="Q112" s="3"/>
    </row>
    <row r="113" customFormat="false" ht="18" hidden="false" customHeight="true" outlineLevel="0" collapsed="false">
      <c r="A113" s="52" t="str">
        <f aca="false">INDEX(Frequencies!$C$2:$C$24,MATCH("PLACE_IDENTITY",Frequencies!$A$2:$A$24,0))&amp;" inscriptions"</f>
        <v>4 inscriptions</v>
      </c>
      <c r="B113" s="52"/>
      <c r="C113" s="52"/>
      <c r="D113" s="52"/>
      <c r="E113" s="54" t="str">
        <f aca="false">INDEX(Frequencies!$C$2:$C$24,MATCH("HUMOR",Frequencies!$A$2:$A$24,0))&amp;" inscriptions"</f>
        <v>17 inscriptions</v>
      </c>
      <c r="F113" s="54"/>
      <c r="G113" s="54"/>
      <c r="H113" s="54"/>
      <c r="I113" s="54" t="str">
        <f aca="false">INDEX(Frequencies!$C$2:$C$24,MATCH("CODE_MIXING_SLANG",Frequencies!$A$2:$A$24,0))&amp;" inscriptions"</f>
        <v>4 inscriptions</v>
      </c>
      <c r="J113" s="54"/>
      <c r="K113" s="54"/>
      <c r="L113" s="54"/>
      <c r="M113" s="3"/>
      <c r="N113" s="3"/>
      <c r="O113" s="3"/>
      <c r="P113" s="3"/>
      <c r="Q113" s="3"/>
    </row>
    <row r="114" customFormat="false" ht="21.75" hidden="false" customHeight="true" outlineLevel="0" collapsed="false">
      <c r="A114" s="42" t="s">
        <v>74</v>
      </c>
      <c r="B114" s="42"/>
      <c r="C114" s="42"/>
      <c r="D114" s="42"/>
      <c r="E114" s="42" t="s">
        <v>75</v>
      </c>
      <c r="F114" s="42"/>
      <c r="G114" s="42"/>
      <c r="H114" s="42"/>
      <c r="I114" s="42" t="s">
        <v>76</v>
      </c>
      <c r="J114" s="42"/>
      <c r="K114" s="42"/>
      <c r="L114" s="42"/>
      <c r="M114" s="3"/>
      <c r="N114" s="3"/>
      <c r="O114" s="3"/>
      <c r="P114" s="3"/>
      <c r="Q114" s="3"/>
    </row>
    <row r="115" customFormat="false" ht="21.75" hidden="false" customHeight="true" outlineLevel="0" collapsed="false">
      <c r="A115" s="42"/>
      <c r="B115" s="42"/>
      <c r="C115" s="42"/>
      <c r="D115" s="42"/>
      <c r="E115" s="42"/>
      <c r="F115" s="42"/>
      <c r="G115" s="42"/>
      <c r="H115" s="42"/>
      <c r="I115" s="42"/>
      <c r="J115" s="42"/>
      <c r="K115" s="42"/>
      <c r="L115" s="42"/>
      <c r="M115" s="3"/>
      <c r="N115" s="3"/>
      <c r="O115" s="3"/>
      <c r="P115" s="3"/>
      <c r="Q115" s="3"/>
    </row>
    <row r="116" customFormat="false" ht="18" hidden="false" customHeight="true" outlineLevel="0" collapsed="false">
      <c r="A116" s="3"/>
      <c r="B116" s="3"/>
      <c r="C116" s="3"/>
      <c r="D116" s="3"/>
      <c r="E116" s="3"/>
      <c r="F116" s="3"/>
      <c r="G116" s="3"/>
      <c r="H116" s="3"/>
      <c r="I116" s="3"/>
      <c r="J116" s="3"/>
      <c r="K116" s="3"/>
      <c r="L116" s="3"/>
      <c r="M116" s="3"/>
      <c r="N116" s="3"/>
      <c r="O116" s="3"/>
      <c r="P116" s="3"/>
      <c r="Q116" s="3"/>
    </row>
    <row r="117" customFormat="false" ht="18" hidden="false" customHeight="true" outlineLevel="0" collapsed="false">
      <c r="A117" s="55" t="s">
        <v>77</v>
      </c>
      <c r="B117" s="55"/>
      <c r="C117" s="55"/>
      <c r="D117" s="55"/>
      <c r="E117" s="55"/>
      <c r="F117" s="55"/>
      <c r="G117" s="55"/>
      <c r="H117" s="55"/>
      <c r="I117" s="55"/>
      <c r="J117" s="55"/>
      <c r="K117" s="55"/>
      <c r="L117" s="55"/>
      <c r="M117" s="55"/>
      <c r="N117" s="55"/>
      <c r="O117" s="55"/>
      <c r="P117" s="55"/>
      <c r="Q117" s="55"/>
    </row>
    <row r="118" customFormat="false" ht="15" hidden="false" customHeight="false" outlineLevel="0" collapsed="false">
      <c r="A118" s="3"/>
      <c r="B118" s="3"/>
      <c r="C118" s="3"/>
      <c r="D118" s="3"/>
      <c r="E118" s="3"/>
      <c r="F118" s="3"/>
      <c r="G118" s="3"/>
      <c r="H118" s="3"/>
      <c r="I118" s="3"/>
      <c r="J118" s="3"/>
      <c r="K118" s="3"/>
      <c r="L118" s="3"/>
      <c r="M118" s="3"/>
      <c r="N118" s="3"/>
      <c r="O118" s="3"/>
      <c r="P118" s="3"/>
      <c r="Q118" s="3"/>
    </row>
    <row r="119" customFormat="false" ht="15" hidden="false" customHeight="false" outlineLevel="0" collapsed="false">
      <c r="A119" s="3"/>
      <c r="B119" s="3"/>
      <c r="C119" s="3"/>
      <c r="D119" s="3"/>
      <c r="E119" s="3"/>
      <c r="F119" s="3"/>
      <c r="G119" s="3"/>
      <c r="H119" s="3"/>
      <c r="I119" s="3"/>
      <c r="J119" s="3"/>
      <c r="K119" s="3"/>
      <c r="L119" s="3"/>
      <c r="M119" s="3"/>
      <c r="N119" s="3"/>
      <c r="O119" s="3"/>
      <c r="P119" s="3"/>
      <c r="Q119" s="3"/>
    </row>
    <row r="120" customFormat="false" ht="15" hidden="false" customHeight="false" outlineLevel="0" collapsed="false">
      <c r="A120" s="3"/>
      <c r="B120" s="3"/>
      <c r="C120" s="3"/>
      <c r="D120" s="3"/>
      <c r="E120" s="3"/>
      <c r="F120" s="3"/>
      <c r="G120" s="3"/>
      <c r="H120" s="3"/>
      <c r="I120" s="3"/>
      <c r="J120" s="3"/>
      <c r="K120" s="3"/>
      <c r="L120" s="3"/>
      <c r="M120" s="3"/>
      <c r="N120" s="3"/>
      <c r="O120" s="3"/>
      <c r="P120" s="3"/>
      <c r="Q120" s="3"/>
    </row>
    <row r="121" customFormat="false" ht="15" hidden="false" customHeight="false" outlineLevel="0" collapsed="false">
      <c r="A121" s="3"/>
      <c r="B121" s="3"/>
      <c r="C121" s="3"/>
      <c r="D121" s="3"/>
      <c r="E121" s="3"/>
      <c r="F121" s="3"/>
      <c r="G121" s="3"/>
      <c r="H121" s="3"/>
      <c r="I121" s="3"/>
      <c r="J121" s="3"/>
      <c r="K121" s="3"/>
      <c r="L121" s="3"/>
      <c r="M121" s="3"/>
      <c r="N121" s="3"/>
      <c r="O121" s="3"/>
      <c r="P121" s="3"/>
      <c r="Q121" s="3"/>
    </row>
    <row r="122" customFormat="false" ht="15" hidden="false" customHeight="false" outlineLevel="0" collapsed="false">
      <c r="A122" s="3"/>
      <c r="B122" s="3"/>
      <c r="C122" s="3"/>
      <c r="D122" s="3"/>
      <c r="E122" s="3"/>
      <c r="F122" s="3"/>
      <c r="G122" s="3"/>
      <c r="H122" s="3"/>
      <c r="I122" s="3"/>
      <c r="J122" s="3"/>
      <c r="K122" s="3"/>
      <c r="L122" s="3"/>
      <c r="M122" s="3"/>
      <c r="N122" s="3"/>
      <c r="O122" s="3"/>
      <c r="P122" s="3"/>
      <c r="Q122" s="3"/>
    </row>
    <row r="123" customFormat="false" ht="15" hidden="false" customHeight="false" outlineLevel="0" collapsed="false">
      <c r="A123" s="3"/>
      <c r="B123" s="3"/>
      <c r="C123" s="3"/>
      <c r="D123" s="3"/>
      <c r="E123" s="3"/>
      <c r="F123" s="3"/>
      <c r="G123" s="3"/>
      <c r="H123" s="3"/>
      <c r="I123" s="3"/>
      <c r="J123" s="3"/>
      <c r="K123" s="3"/>
      <c r="L123" s="3"/>
      <c r="M123" s="3"/>
      <c r="N123" s="3"/>
      <c r="O123" s="3"/>
      <c r="P123" s="3"/>
      <c r="Q123" s="3"/>
    </row>
    <row r="124" customFormat="false" ht="15" hidden="false" customHeight="false" outlineLevel="0" collapsed="false">
      <c r="A124" s="3"/>
      <c r="B124" s="3"/>
      <c r="C124" s="3"/>
      <c r="D124" s="3"/>
      <c r="E124" s="3"/>
      <c r="F124" s="3"/>
      <c r="G124" s="3"/>
      <c r="H124" s="3"/>
      <c r="I124" s="3"/>
      <c r="J124" s="3"/>
      <c r="K124" s="3"/>
      <c r="L124" s="3"/>
      <c r="M124" s="3"/>
      <c r="N124" s="3"/>
      <c r="O124" s="3"/>
      <c r="P124" s="3"/>
      <c r="Q124" s="3"/>
    </row>
    <row r="125" customFormat="false" ht="15" hidden="false" customHeight="false" outlineLevel="0" collapsed="false">
      <c r="A125" s="3"/>
      <c r="B125" s="3"/>
      <c r="C125" s="3"/>
      <c r="D125" s="3"/>
      <c r="E125" s="3"/>
      <c r="F125" s="3"/>
      <c r="G125" s="3"/>
      <c r="H125" s="3"/>
      <c r="I125" s="3"/>
      <c r="J125" s="3"/>
      <c r="K125" s="3"/>
      <c r="L125" s="3"/>
      <c r="M125" s="3"/>
      <c r="N125" s="3"/>
      <c r="O125" s="3"/>
      <c r="P125" s="3"/>
      <c r="Q125" s="3"/>
    </row>
    <row r="126" customFormat="false" ht="15" hidden="false" customHeight="false" outlineLevel="0" collapsed="false">
      <c r="A126" s="3"/>
      <c r="B126" s="3"/>
      <c r="C126" s="3"/>
      <c r="D126" s="3"/>
      <c r="E126" s="3"/>
      <c r="F126" s="3"/>
      <c r="G126" s="3"/>
      <c r="H126" s="3"/>
      <c r="I126" s="3"/>
      <c r="J126" s="3"/>
      <c r="K126" s="3"/>
      <c r="L126" s="3"/>
      <c r="M126" s="3"/>
      <c r="N126" s="3"/>
      <c r="O126" s="3"/>
      <c r="P126" s="3"/>
      <c r="Q126" s="3"/>
    </row>
    <row r="127" customFormat="false" ht="15" hidden="false" customHeight="false" outlineLevel="0" collapsed="false">
      <c r="A127" s="3"/>
      <c r="B127" s="3"/>
      <c r="C127" s="3"/>
      <c r="D127" s="3"/>
      <c r="E127" s="3"/>
      <c r="F127" s="3"/>
      <c r="G127" s="3"/>
      <c r="H127" s="3"/>
      <c r="I127" s="3"/>
      <c r="J127" s="3"/>
      <c r="K127" s="3"/>
      <c r="L127" s="3"/>
      <c r="M127" s="3"/>
      <c r="N127" s="3"/>
      <c r="O127" s="3"/>
      <c r="P127" s="3"/>
      <c r="Q127" s="3"/>
    </row>
    <row r="128" customFormat="false" ht="15" hidden="false" customHeight="false" outlineLevel="0" collapsed="false">
      <c r="A128" s="3"/>
      <c r="B128" s="3"/>
      <c r="C128" s="3"/>
      <c r="D128" s="3"/>
      <c r="E128" s="3"/>
      <c r="F128" s="3"/>
      <c r="G128" s="3"/>
      <c r="H128" s="3"/>
      <c r="I128" s="3"/>
      <c r="J128" s="3"/>
      <c r="K128" s="3"/>
      <c r="L128" s="3"/>
      <c r="M128" s="3"/>
      <c r="N128" s="3"/>
      <c r="O128" s="3"/>
      <c r="P128" s="3"/>
      <c r="Q128" s="3"/>
    </row>
    <row r="129" customFormat="false" ht="15" hidden="false" customHeight="false" outlineLevel="0" collapsed="false">
      <c r="A129" s="3"/>
      <c r="B129" s="3"/>
      <c r="C129" s="3"/>
      <c r="D129" s="3"/>
      <c r="E129" s="3"/>
      <c r="F129" s="3"/>
      <c r="G129" s="3"/>
      <c r="H129" s="3"/>
      <c r="I129" s="3"/>
      <c r="J129" s="3"/>
      <c r="K129" s="3"/>
      <c r="L129" s="3"/>
      <c r="M129" s="3"/>
      <c r="N129" s="3"/>
      <c r="O129" s="3"/>
      <c r="P129" s="3"/>
      <c r="Q129" s="3"/>
    </row>
    <row r="130" customFormat="false" ht="15" hidden="false" customHeight="false" outlineLevel="0" collapsed="false">
      <c r="A130" s="3"/>
      <c r="B130" s="3"/>
      <c r="C130" s="3"/>
      <c r="D130" s="3"/>
      <c r="E130" s="3"/>
      <c r="F130" s="3"/>
      <c r="G130" s="3"/>
      <c r="H130" s="3"/>
      <c r="I130" s="3"/>
      <c r="J130" s="3"/>
      <c r="K130" s="3"/>
      <c r="L130" s="3"/>
      <c r="M130" s="3"/>
      <c r="N130" s="3"/>
      <c r="O130" s="3"/>
      <c r="P130" s="3"/>
      <c r="Q130" s="3"/>
    </row>
    <row r="131" customFormat="false" ht="15" hidden="false" customHeight="false" outlineLevel="0" collapsed="false">
      <c r="A131" s="3"/>
      <c r="B131" s="3"/>
      <c r="C131" s="3"/>
      <c r="D131" s="3"/>
      <c r="E131" s="3"/>
      <c r="F131" s="3"/>
      <c r="G131" s="3"/>
      <c r="H131" s="3"/>
      <c r="I131" s="3"/>
      <c r="J131" s="3"/>
      <c r="K131" s="3"/>
      <c r="L131" s="3"/>
      <c r="M131" s="3"/>
      <c r="N131" s="3"/>
      <c r="O131" s="3"/>
      <c r="P131" s="3"/>
      <c r="Q131" s="3"/>
    </row>
    <row r="132" customFormat="false" ht="15" hidden="false" customHeight="false" outlineLevel="0" collapsed="false">
      <c r="A132" s="3"/>
      <c r="B132" s="3"/>
      <c r="C132" s="3"/>
      <c r="D132" s="3"/>
      <c r="E132" s="3"/>
      <c r="F132" s="3"/>
      <c r="G132" s="3"/>
      <c r="H132" s="3"/>
      <c r="I132" s="3"/>
      <c r="J132" s="3"/>
      <c r="K132" s="3"/>
      <c r="L132" s="3"/>
      <c r="M132" s="3"/>
      <c r="N132" s="3"/>
      <c r="O132" s="3"/>
      <c r="P132" s="3"/>
      <c r="Q132" s="3"/>
    </row>
    <row r="133" customFormat="false" ht="15" hidden="false" customHeight="false" outlineLevel="0" collapsed="false">
      <c r="A133" s="3"/>
      <c r="B133" s="3"/>
      <c r="C133" s="3"/>
      <c r="D133" s="3"/>
      <c r="E133" s="3"/>
      <c r="F133" s="3"/>
      <c r="G133" s="3"/>
      <c r="H133" s="3"/>
      <c r="I133" s="3"/>
      <c r="J133" s="3"/>
      <c r="K133" s="3"/>
      <c r="L133" s="3"/>
      <c r="M133" s="3"/>
      <c r="N133" s="3"/>
      <c r="O133" s="3"/>
      <c r="P133" s="3"/>
      <c r="Q133" s="3"/>
    </row>
    <row r="134" customFormat="false" ht="15" hidden="false" customHeight="false" outlineLevel="0" collapsed="false">
      <c r="A134" s="3"/>
      <c r="B134" s="3"/>
      <c r="C134" s="3"/>
      <c r="D134" s="3"/>
      <c r="E134" s="3"/>
      <c r="F134" s="3"/>
      <c r="G134" s="3"/>
      <c r="H134" s="3"/>
      <c r="I134" s="3"/>
      <c r="J134" s="3"/>
      <c r="K134" s="3"/>
      <c r="L134" s="3"/>
      <c r="M134" s="3"/>
      <c r="N134" s="3"/>
      <c r="O134" s="3"/>
      <c r="P134" s="3"/>
      <c r="Q134" s="3"/>
    </row>
    <row r="135" customFormat="false" ht="15" hidden="false" customHeight="false" outlineLevel="0" collapsed="false">
      <c r="A135" s="3"/>
      <c r="B135" s="3"/>
      <c r="C135" s="3"/>
      <c r="D135" s="3"/>
      <c r="E135" s="3"/>
      <c r="F135" s="3"/>
      <c r="G135" s="3"/>
      <c r="H135" s="3"/>
      <c r="I135" s="3"/>
      <c r="J135" s="3"/>
      <c r="K135" s="3"/>
      <c r="L135" s="3"/>
      <c r="M135" s="3"/>
      <c r="N135" s="3"/>
      <c r="O135" s="3"/>
      <c r="P135" s="3"/>
      <c r="Q135" s="3"/>
    </row>
    <row r="136" customFormat="false" ht="15" hidden="false" customHeight="false" outlineLevel="0" collapsed="false">
      <c r="A136" s="3"/>
      <c r="B136" s="3"/>
      <c r="C136" s="3"/>
      <c r="D136" s="3"/>
      <c r="E136" s="3"/>
      <c r="F136" s="3"/>
      <c r="G136" s="3"/>
      <c r="H136" s="3"/>
      <c r="I136" s="3"/>
      <c r="J136" s="3"/>
      <c r="K136" s="3"/>
      <c r="L136" s="3"/>
      <c r="M136" s="3"/>
      <c r="N136" s="3"/>
      <c r="O136" s="3"/>
      <c r="P136" s="3"/>
      <c r="Q136" s="3"/>
    </row>
    <row r="137" customFormat="false" ht="15" hidden="false" customHeight="false" outlineLevel="0" collapsed="false">
      <c r="A137" s="3"/>
      <c r="B137" s="3"/>
      <c r="C137" s="3"/>
      <c r="D137" s="3"/>
      <c r="E137" s="3"/>
      <c r="F137" s="3"/>
      <c r="G137" s="3"/>
      <c r="H137" s="3"/>
      <c r="I137" s="3"/>
      <c r="J137" s="3"/>
      <c r="K137" s="3"/>
      <c r="L137" s="3"/>
      <c r="M137" s="3"/>
      <c r="N137" s="3"/>
      <c r="O137" s="3"/>
      <c r="P137" s="3"/>
      <c r="Q137" s="3"/>
    </row>
    <row r="138" customFormat="false" ht="15" hidden="false" customHeight="false" outlineLevel="0" collapsed="false">
      <c r="A138" s="3"/>
      <c r="B138" s="3"/>
      <c r="C138" s="3"/>
      <c r="D138" s="3"/>
      <c r="E138" s="3"/>
      <c r="F138" s="3"/>
      <c r="G138" s="3"/>
      <c r="H138" s="3"/>
      <c r="I138" s="3"/>
      <c r="J138" s="3"/>
      <c r="K138" s="3"/>
      <c r="L138" s="3"/>
      <c r="M138" s="3"/>
      <c r="N138" s="3"/>
      <c r="O138" s="3"/>
      <c r="P138" s="3"/>
      <c r="Q138" s="3"/>
    </row>
    <row r="139" customFormat="false" ht="15" hidden="false" customHeight="false" outlineLevel="0" collapsed="false">
      <c r="A139" s="3"/>
      <c r="B139" s="3"/>
      <c r="C139" s="3"/>
      <c r="D139" s="3"/>
      <c r="E139" s="3"/>
      <c r="F139" s="3"/>
      <c r="G139" s="3"/>
      <c r="H139" s="3"/>
      <c r="I139" s="3"/>
      <c r="J139" s="3"/>
      <c r="K139" s="3"/>
      <c r="L139" s="3"/>
      <c r="M139" s="3"/>
      <c r="N139" s="3"/>
      <c r="O139" s="3"/>
      <c r="P139" s="3"/>
      <c r="Q139" s="3"/>
    </row>
  </sheetData>
  <mergeCells count="138">
    <mergeCell ref="A1:Q2"/>
    <mergeCell ref="A3:Q3"/>
    <mergeCell ref="A5:B5"/>
    <mergeCell ref="D5:E5"/>
    <mergeCell ref="G5:H5"/>
    <mergeCell ref="J5:K5"/>
    <mergeCell ref="M5:N5"/>
    <mergeCell ref="P5:Q5"/>
    <mergeCell ref="A6:B7"/>
    <mergeCell ref="D6:E7"/>
    <mergeCell ref="G6:H7"/>
    <mergeCell ref="J6:K7"/>
    <mergeCell ref="M6:N7"/>
    <mergeCell ref="P6:Q7"/>
    <mergeCell ref="A8:B8"/>
    <mergeCell ref="D8:E8"/>
    <mergeCell ref="G8:H8"/>
    <mergeCell ref="J8:K8"/>
    <mergeCell ref="M8:N8"/>
    <mergeCell ref="P8:Q8"/>
    <mergeCell ref="A10:H10"/>
    <mergeCell ref="J10:Q10"/>
    <mergeCell ref="A40:Q40"/>
    <mergeCell ref="A60:Q60"/>
    <mergeCell ref="J61:Q61"/>
    <mergeCell ref="J62:L62"/>
    <mergeCell ref="M62:O62"/>
    <mergeCell ref="P62:Q62"/>
    <mergeCell ref="J63:L63"/>
    <mergeCell ref="M63:O63"/>
    <mergeCell ref="P63:Q63"/>
    <mergeCell ref="J64:L64"/>
    <mergeCell ref="M64:O64"/>
    <mergeCell ref="P64:Q64"/>
    <mergeCell ref="J65:L65"/>
    <mergeCell ref="M65:O65"/>
    <mergeCell ref="P65:Q65"/>
    <mergeCell ref="J66:L66"/>
    <mergeCell ref="M66:O66"/>
    <mergeCell ref="P66:Q66"/>
    <mergeCell ref="J67:L67"/>
    <mergeCell ref="M67:O67"/>
    <mergeCell ref="P67:Q67"/>
    <mergeCell ref="J68:L68"/>
    <mergeCell ref="M68:O68"/>
    <mergeCell ref="P68:Q68"/>
    <mergeCell ref="J69:L69"/>
    <mergeCell ref="M69:O69"/>
    <mergeCell ref="P69:Q69"/>
    <mergeCell ref="J70:L70"/>
    <mergeCell ref="M70:O70"/>
    <mergeCell ref="P70:Q70"/>
    <mergeCell ref="J71:L71"/>
    <mergeCell ref="M71:O71"/>
    <mergeCell ref="P71:Q71"/>
    <mergeCell ref="J72:L72"/>
    <mergeCell ref="M72:O72"/>
    <mergeCell ref="P72:Q72"/>
    <mergeCell ref="A82:Q83"/>
    <mergeCell ref="A84:Q84"/>
    <mergeCell ref="A85:B85"/>
    <mergeCell ref="C85:D85"/>
    <mergeCell ref="E85:F85"/>
    <mergeCell ref="G85:H85"/>
    <mergeCell ref="I85:J85"/>
    <mergeCell ref="K85:L85"/>
    <mergeCell ref="M85:N85"/>
    <mergeCell ref="O85:P85"/>
    <mergeCell ref="A87:D87"/>
    <mergeCell ref="E87:H87"/>
    <mergeCell ref="I87:L87"/>
    <mergeCell ref="M87:P87"/>
    <mergeCell ref="A88:D88"/>
    <mergeCell ref="E88:H88"/>
    <mergeCell ref="I88:L88"/>
    <mergeCell ref="M88:P88"/>
    <mergeCell ref="A89:D90"/>
    <mergeCell ref="E89:H90"/>
    <mergeCell ref="I89:L90"/>
    <mergeCell ref="M89:P90"/>
    <mergeCell ref="A92:D92"/>
    <mergeCell ref="E92:H92"/>
    <mergeCell ref="I92:L92"/>
    <mergeCell ref="M92:P92"/>
    <mergeCell ref="A93:D93"/>
    <mergeCell ref="E93:H93"/>
    <mergeCell ref="I93:L93"/>
    <mergeCell ref="M93:P93"/>
    <mergeCell ref="A94:D95"/>
    <mergeCell ref="E94:H95"/>
    <mergeCell ref="I94:L95"/>
    <mergeCell ref="M94:P95"/>
    <mergeCell ref="A97:D97"/>
    <mergeCell ref="E97:H97"/>
    <mergeCell ref="I97:L97"/>
    <mergeCell ref="M97:P97"/>
    <mergeCell ref="A98:D98"/>
    <mergeCell ref="E98:H98"/>
    <mergeCell ref="I98:L98"/>
    <mergeCell ref="M98:P98"/>
    <mergeCell ref="A99:D100"/>
    <mergeCell ref="E99:H100"/>
    <mergeCell ref="I99:L100"/>
    <mergeCell ref="M99:P100"/>
    <mergeCell ref="A102:D102"/>
    <mergeCell ref="E102:H102"/>
    <mergeCell ref="I102:L102"/>
    <mergeCell ref="M102:P102"/>
    <mergeCell ref="A103:D103"/>
    <mergeCell ref="E103:H103"/>
    <mergeCell ref="I103:L103"/>
    <mergeCell ref="M103:P103"/>
    <mergeCell ref="A104:D105"/>
    <mergeCell ref="E104:H105"/>
    <mergeCell ref="I104:L105"/>
    <mergeCell ref="M104:P105"/>
    <mergeCell ref="A107:D107"/>
    <mergeCell ref="E107:H107"/>
    <mergeCell ref="I107:L107"/>
    <mergeCell ref="M107:P107"/>
    <mergeCell ref="A108:D108"/>
    <mergeCell ref="E108:H108"/>
    <mergeCell ref="I108:L108"/>
    <mergeCell ref="M108:P108"/>
    <mergeCell ref="A109:D110"/>
    <mergeCell ref="E109:H110"/>
    <mergeCell ref="I109:L110"/>
    <mergeCell ref="M109:P110"/>
    <mergeCell ref="A112:D112"/>
    <mergeCell ref="E112:H112"/>
    <mergeCell ref="I112:L112"/>
    <mergeCell ref="A113:D113"/>
    <mergeCell ref="E113:H113"/>
    <mergeCell ref="I113:L113"/>
    <mergeCell ref="A114:D115"/>
    <mergeCell ref="E114:H115"/>
    <mergeCell ref="I114:L115"/>
    <mergeCell ref="A117:Q1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6" width="30"/>
    <col collapsed="false" customWidth="true" hidden="false" outlineLevel="0" max="2" min="2" style="56" width="12"/>
    <col collapsed="false" customWidth="true" hidden="false" outlineLevel="0" max="3" min="3" style="56" width="80"/>
    <col collapsed="false" customWidth="true" hidden="false" outlineLevel="0" max="4" min="4" style="56" width="8"/>
  </cols>
  <sheetData>
    <row r="1" customFormat="false" ht="17.25" hidden="false" customHeight="true" outlineLevel="0" collapsed="false">
      <c r="A1" s="57" t="s">
        <v>78</v>
      </c>
    </row>
    <row r="3" customFormat="false" ht="30" hidden="false" customHeight="true" outlineLevel="0" collapsed="false">
      <c r="A3" s="58" t="s">
        <v>79</v>
      </c>
      <c r="B3" s="58"/>
      <c r="C3" s="58"/>
      <c r="D3" s="58"/>
    </row>
    <row r="4" customFormat="false" ht="30" hidden="false" customHeight="true" outlineLevel="0" collapsed="false">
      <c r="A4" s="58" t="s">
        <v>80</v>
      </c>
      <c r="B4" s="58"/>
      <c r="C4" s="58"/>
      <c r="D4" s="58"/>
    </row>
    <row r="5" customFormat="false" ht="30" hidden="false" customHeight="true" outlineLevel="0" collapsed="false">
      <c r="A5" s="58" t="s">
        <v>81</v>
      </c>
      <c r="B5" s="58"/>
      <c r="C5" s="58"/>
      <c r="D5" s="58"/>
    </row>
    <row r="6" customFormat="false" ht="30" hidden="false" customHeight="true" outlineLevel="0" collapsed="false">
      <c r="A6" s="58" t="s">
        <v>82</v>
      </c>
      <c r="B6" s="58"/>
      <c r="C6" s="58"/>
      <c r="D6" s="58"/>
    </row>
    <row r="7" customFormat="false" ht="30" hidden="false" customHeight="true" outlineLevel="0" collapsed="false">
      <c r="A7" s="58" t="s">
        <v>83</v>
      </c>
      <c r="B7" s="58"/>
      <c r="C7" s="58"/>
      <c r="D7" s="58"/>
    </row>
    <row r="8" customFormat="false" ht="30" hidden="false" customHeight="true" outlineLevel="0" collapsed="false">
      <c r="A8" s="58" t="s">
        <v>84</v>
      </c>
      <c r="B8" s="58"/>
      <c r="C8" s="58"/>
      <c r="D8" s="58"/>
    </row>
    <row r="9" customFormat="false" ht="30" hidden="false" customHeight="true" outlineLevel="0" collapsed="false">
      <c r="A9" s="58" t="s">
        <v>85</v>
      </c>
      <c r="B9" s="58"/>
      <c r="C9" s="58"/>
      <c r="D9" s="58"/>
    </row>
    <row r="11" customFormat="false" ht="15" hidden="false" customHeight="true" outlineLevel="0" collapsed="false">
      <c r="A11" s="59" t="s">
        <v>86</v>
      </c>
      <c r="B11" s="59" t="s">
        <v>87</v>
      </c>
      <c r="C11" s="59" t="s">
        <v>88</v>
      </c>
      <c r="D11" s="59" t="s">
        <v>89</v>
      </c>
    </row>
    <row r="12" customFormat="false" ht="15" hidden="false" customHeight="true" outlineLevel="0" collapsed="false">
      <c r="A12" s="60" t="s">
        <v>90</v>
      </c>
      <c r="B12" s="60" t="s">
        <v>91</v>
      </c>
      <c r="C12" s="60" t="s">
        <v>92</v>
      </c>
      <c r="D12" s="60" t="n">
        <f aca="false">SUM(Code_Matrix!C2:C62)</f>
        <v>8</v>
      </c>
    </row>
    <row r="13" customFormat="false" ht="15" hidden="false" customHeight="true" outlineLevel="0" collapsed="false">
      <c r="A13" s="60" t="s">
        <v>93</v>
      </c>
      <c r="B13" s="60" t="s">
        <v>91</v>
      </c>
      <c r="C13" s="60" t="s">
        <v>94</v>
      </c>
      <c r="D13" s="60" t="n">
        <f aca="false">SUM(Code_Matrix!D2:D62)</f>
        <v>9</v>
      </c>
    </row>
    <row r="14" customFormat="false" ht="15" hidden="false" customHeight="true" outlineLevel="0" collapsed="false">
      <c r="A14" s="60" t="s">
        <v>95</v>
      </c>
      <c r="B14" s="60" t="s">
        <v>91</v>
      </c>
      <c r="C14" s="60" t="s">
        <v>96</v>
      </c>
      <c r="D14" s="60" t="n">
        <f aca="false">SUM(Code_Matrix!E2:E62)</f>
        <v>11</v>
      </c>
    </row>
    <row r="15" customFormat="false" ht="15" hidden="false" customHeight="true" outlineLevel="0" collapsed="false">
      <c r="A15" s="60" t="s">
        <v>97</v>
      </c>
      <c r="B15" s="60" t="s">
        <v>91</v>
      </c>
      <c r="C15" s="60" t="s">
        <v>98</v>
      </c>
      <c r="D15" s="60" t="n">
        <f aca="false">SUM(Code_Matrix!F2:F62)</f>
        <v>7</v>
      </c>
    </row>
    <row r="16" customFormat="false" ht="26.25" hidden="false" customHeight="true" outlineLevel="0" collapsed="false">
      <c r="A16" s="60" t="s">
        <v>99</v>
      </c>
      <c r="B16" s="60" t="s">
        <v>91</v>
      </c>
      <c r="C16" s="60" t="s">
        <v>100</v>
      </c>
      <c r="D16" s="60" t="n">
        <f aca="false">SUM(Code_Matrix!G2:G62)</f>
        <v>2</v>
      </c>
    </row>
    <row r="17" customFormat="false" ht="26.25" hidden="false" customHeight="true" outlineLevel="0" collapsed="false">
      <c r="A17" s="60" t="s">
        <v>101</v>
      </c>
      <c r="B17" s="60" t="s">
        <v>102</v>
      </c>
      <c r="C17" s="60" t="s">
        <v>103</v>
      </c>
      <c r="D17" s="60" t="n">
        <f aca="false">SUM(Code_Matrix!H2:H62)</f>
        <v>4</v>
      </c>
    </row>
    <row r="18" customFormat="false" ht="15" hidden="false" customHeight="true" outlineLevel="0" collapsed="false">
      <c r="A18" s="60" t="s">
        <v>104</v>
      </c>
      <c r="B18" s="60" t="s">
        <v>91</v>
      </c>
      <c r="C18" s="60" t="s">
        <v>105</v>
      </c>
      <c r="D18" s="60" t="n">
        <f aca="false">SUM(Code_Matrix!I2:I62)</f>
        <v>1</v>
      </c>
    </row>
    <row r="19" customFormat="false" ht="15" hidden="false" customHeight="true" outlineLevel="0" collapsed="false">
      <c r="A19" s="60" t="s">
        <v>106</v>
      </c>
      <c r="B19" s="60" t="s">
        <v>91</v>
      </c>
      <c r="C19" s="60" t="s">
        <v>107</v>
      </c>
      <c r="D19" s="60" t="n">
        <f aca="false">SUM(Code_Matrix!J2:J62)</f>
        <v>8</v>
      </c>
    </row>
    <row r="20" customFormat="false" ht="15" hidden="false" customHeight="true" outlineLevel="0" collapsed="false">
      <c r="A20" s="60" t="s">
        <v>108</v>
      </c>
      <c r="B20" s="60" t="s">
        <v>102</v>
      </c>
      <c r="C20" s="60" t="s">
        <v>109</v>
      </c>
      <c r="D20" s="60" t="n">
        <f aca="false">SUM(Code_Matrix!K2:K62)</f>
        <v>8</v>
      </c>
    </row>
    <row r="21" customFormat="false" ht="15" hidden="false" customHeight="true" outlineLevel="0" collapsed="false">
      <c r="A21" s="60" t="s">
        <v>110</v>
      </c>
      <c r="B21" s="60" t="s">
        <v>102</v>
      </c>
      <c r="C21" s="60" t="s">
        <v>111</v>
      </c>
      <c r="D21" s="60" t="n">
        <f aca="false">SUM(Code_Matrix!L2:L62)</f>
        <v>4</v>
      </c>
    </row>
    <row r="22" customFormat="false" ht="15" hidden="false" customHeight="true" outlineLevel="0" collapsed="false">
      <c r="A22" s="60" t="s">
        <v>112</v>
      </c>
      <c r="B22" s="60" t="s">
        <v>102</v>
      </c>
      <c r="C22" s="60" t="s">
        <v>113</v>
      </c>
      <c r="D22" s="60" t="n">
        <f aca="false">SUM(Code_Matrix!M2:M62)</f>
        <v>5</v>
      </c>
    </row>
    <row r="23" customFormat="false" ht="15" hidden="false" customHeight="true" outlineLevel="0" collapsed="false">
      <c r="A23" s="60" t="s">
        <v>114</v>
      </c>
      <c r="B23" s="60" t="s">
        <v>91</v>
      </c>
      <c r="C23" s="60" t="s">
        <v>115</v>
      </c>
      <c r="D23" s="60" t="n">
        <f aca="false">SUM(Code_Matrix!N2:N62)</f>
        <v>4</v>
      </c>
    </row>
    <row r="24" customFormat="false" ht="15" hidden="false" customHeight="true" outlineLevel="0" collapsed="false">
      <c r="A24" s="60" t="s">
        <v>116</v>
      </c>
      <c r="B24" s="60" t="s">
        <v>91</v>
      </c>
      <c r="C24" s="60" t="s">
        <v>117</v>
      </c>
      <c r="D24" s="60" t="n">
        <f aca="false">SUM(Code_Matrix!O2:O62)</f>
        <v>10</v>
      </c>
    </row>
    <row r="25" customFormat="false" ht="15" hidden="false" customHeight="true" outlineLevel="0" collapsed="false">
      <c r="A25" s="60" t="s">
        <v>118</v>
      </c>
      <c r="B25" s="60" t="s">
        <v>102</v>
      </c>
      <c r="C25" s="60" t="s">
        <v>119</v>
      </c>
      <c r="D25" s="60" t="n">
        <f aca="false">SUM(Code_Matrix!P2:P62)</f>
        <v>7</v>
      </c>
    </row>
    <row r="26" customFormat="false" ht="15" hidden="false" customHeight="true" outlineLevel="0" collapsed="false">
      <c r="A26" s="60" t="s">
        <v>120</v>
      </c>
      <c r="B26" s="60" t="s">
        <v>102</v>
      </c>
      <c r="C26" s="60" t="s">
        <v>121</v>
      </c>
      <c r="D26" s="60" t="n">
        <f aca="false">SUM(Code_Matrix!Q2:Q62)</f>
        <v>11</v>
      </c>
    </row>
    <row r="27" customFormat="false" ht="15" hidden="false" customHeight="true" outlineLevel="0" collapsed="false">
      <c r="A27" s="60" t="s">
        <v>122</v>
      </c>
      <c r="B27" s="60" t="s">
        <v>91</v>
      </c>
      <c r="C27" s="60" t="s">
        <v>123</v>
      </c>
      <c r="D27" s="60" t="n">
        <f aca="false">SUM(Code_Matrix!R2:R62)</f>
        <v>10</v>
      </c>
    </row>
    <row r="28" customFormat="false" ht="15" hidden="false" customHeight="true" outlineLevel="0" collapsed="false">
      <c r="A28" s="60" t="s">
        <v>124</v>
      </c>
      <c r="B28" s="60" t="s">
        <v>91</v>
      </c>
      <c r="C28" s="60" t="s">
        <v>125</v>
      </c>
      <c r="D28" s="60" t="n">
        <f aca="false">SUM(Code_Matrix!S2:S62)</f>
        <v>4</v>
      </c>
    </row>
    <row r="29" customFormat="false" ht="15" hidden="false" customHeight="true" outlineLevel="0" collapsed="false">
      <c r="A29" s="60" t="s">
        <v>126</v>
      </c>
      <c r="B29" s="60" t="s">
        <v>91</v>
      </c>
      <c r="C29" s="60" t="s">
        <v>127</v>
      </c>
      <c r="D29" s="60" t="n">
        <f aca="false">SUM(Code_Matrix!T2:T62)</f>
        <v>5</v>
      </c>
    </row>
    <row r="30" customFormat="false" ht="15" hidden="false" customHeight="true" outlineLevel="0" collapsed="false">
      <c r="A30" s="60" t="s">
        <v>128</v>
      </c>
      <c r="B30" s="60" t="s">
        <v>91</v>
      </c>
      <c r="C30" s="60" t="s">
        <v>129</v>
      </c>
      <c r="D30" s="60" t="n">
        <f aca="false">SUM(Code_Matrix!U2:U62)</f>
        <v>4</v>
      </c>
    </row>
    <row r="31" customFormat="false" ht="15" hidden="false" customHeight="true" outlineLevel="0" collapsed="false">
      <c r="A31" s="60" t="s">
        <v>130</v>
      </c>
      <c r="B31" s="60" t="s">
        <v>91</v>
      </c>
      <c r="C31" s="60" t="s">
        <v>131</v>
      </c>
      <c r="D31" s="60" t="n">
        <f aca="false">SUM(Code_Matrix!V2:V62)</f>
        <v>4</v>
      </c>
    </row>
    <row r="32" customFormat="false" ht="15" hidden="false" customHeight="true" outlineLevel="0" collapsed="false">
      <c r="A32" s="60" t="s">
        <v>132</v>
      </c>
      <c r="B32" s="60" t="s">
        <v>91</v>
      </c>
      <c r="C32" s="60" t="s">
        <v>133</v>
      </c>
      <c r="D32" s="60" t="n">
        <f aca="false">SUM(Code_Matrix!W2:W62)</f>
        <v>17</v>
      </c>
    </row>
    <row r="33" customFormat="false" ht="15" hidden="false" customHeight="true" outlineLevel="0" collapsed="false">
      <c r="A33" s="60" t="s">
        <v>134</v>
      </c>
      <c r="B33" s="60" t="s">
        <v>91</v>
      </c>
      <c r="C33" s="60" t="s">
        <v>135</v>
      </c>
      <c r="D33" s="60" t="n">
        <f aca="false">SUM(Code_Matrix!X2:X62)</f>
        <v>4</v>
      </c>
    </row>
    <row r="34" customFormat="false" ht="15" hidden="false" customHeight="true" outlineLevel="0" collapsed="false">
      <c r="A34" s="60" t="s">
        <v>136</v>
      </c>
      <c r="B34" s="60" t="s">
        <v>102</v>
      </c>
      <c r="C34" s="60" t="s">
        <v>137</v>
      </c>
      <c r="D34" s="60" t="n">
        <f aca="false">SUM(Code_Matrix!Y2:Y62)</f>
        <v>0</v>
      </c>
    </row>
  </sheetData>
  <mergeCells count="7">
    <mergeCell ref="A3:D3"/>
    <mergeCell ref="A4:D4"/>
    <mergeCell ref="A5:D5"/>
    <mergeCell ref="A6:D6"/>
    <mergeCell ref="A7:D7"/>
    <mergeCell ref="A8:D8"/>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56" width="5"/>
    <col collapsed="false" customWidth="true" hidden="false" outlineLevel="0" max="2" min="2" style="56" width="40"/>
    <col collapsed="false" customWidth="true" hidden="false" outlineLevel="0" max="3" min="3" style="56" width="36"/>
    <col collapsed="false" customWidth="true" hidden="false" outlineLevel="0" max="4" min="4" style="56" width="40"/>
    <col collapsed="false" customWidth="true" hidden="false" outlineLevel="0" max="5" min="5" style="56" width="28"/>
    <col collapsed="false" customWidth="true" hidden="false" outlineLevel="0" max="6" min="6" style="56" width="36"/>
    <col collapsed="false" customWidth="true" hidden="false" outlineLevel="0" max="27" min="7" style="56" width="18"/>
    <col collapsed="false" customWidth="true" hidden="false" outlineLevel="0" max="28" min="28" style="56" width="36"/>
    <col collapsed="false" customWidth="true" hidden="false" outlineLevel="0" max="29" min="29" style="56" width="28"/>
    <col collapsed="false" customWidth="true" hidden="false" outlineLevel="0" max="30" min="30" style="56" width="18"/>
    <col collapsed="false" customWidth="true" hidden="false" outlineLevel="0" max="31" min="31" style="56" width="30"/>
    <col collapsed="false" customWidth="true" hidden="false" outlineLevel="0" max="32" min="32" style="56" width="18"/>
    <col collapsed="false" customWidth="true" hidden="false" outlineLevel="0" max="33" min="33" style="56" width="40"/>
    <col collapsed="false" customWidth="true" hidden="false" outlineLevel="0" max="34" min="34" style="56" width="34"/>
  </cols>
  <sheetData>
    <row r="1" customFormat="false" ht="26.25" hidden="false" customHeight="true" outlineLevel="0" collapsed="false">
      <c r="A1" s="59" t="s">
        <v>138</v>
      </c>
      <c r="B1" s="59" t="s">
        <v>139</v>
      </c>
      <c r="C1" s="59" t="s">
        <v>140</v>
      </c>
      <c r="D1" s="59" t="s">
        <v>141</v>
      </c>
      <c r="E1" s="59" t="s">
        <v>142</v>
      </c>
      <c r="F1" s="59" t="s">
        <v>143</v>
      </c>
      <c r="G1" s="59" t="s">
        <v>144</v>
      </c>
      <c r="H1" s="59" t="s">
        <v>145</v>
      </c>
      <c r="I1" s="59" t="s">
        <v>146</v>
      </c>
      <c r="J1" s="59" t="s">
        <v>147</v>
      </c>
      <c r="K1" s="59" t="s">
        <v>148</v>
      </c>
      <c r="L1" s="59" t="s">
        <v>149</v>
      </c>
      <c r="M1" s="59" t="s">
        <v>150</v>
      </c>
      <c r="N1" s="59" t="s">
        <v>151</v>
      </c>
      <c r="O1" s="59" t="s">
        <v>152</v>
      </c>
      <c r="P1" s="59" t="s">
        <v>153</v>
      </c>
      <c r="Q1" s="59" t="s">
        <v>154</v>
      </c>
      <c r="R1" s="59" t="s">
        <v>155</v>
      </c>
      <c r="S1" s="59" t="s">
        <v>156</v>
      </c>
      <c r="T1" s="59" t="s">
        <v>157</v>
      </c>
      <c r="U1" s="59" t="s">
        <v>158</v>
      </c>
      <c r="V1" s="59" t="s">
        <v>159</v>
      </c>
      <c r="W1" s="59" t="s">
        <v>160</v>
      </c>
      <c r="X1" s="59" t="s">
        <v>161</v>
      </c>
      <c r="Y1" s="59" t="s">
        <v>162</v>
      </c>
      <c r="Z1" s="59" t="s">
        <v>163</v>
      </c>
      <c r="AA1" s="59" t="s">
        <v>164</v>
      </c>
      <c r="AB1" s="59" t="s">
        <v>165</v>
      </c>
      <c r="AC1" s="59" t="s">
        <v>166</v>
      </c>
      <c r="AD1" s="59" t="s">
        <v>167</v>
      </c>
      <c r="AE1" s="59" t="s">
        <v>168</v>
      </c>
      <c r="AF1" s="59" t="s">
        <v>169</v>
      </c>
      <c r="AG1" s="59" t="s">
        <v>170</v>
      </c>
      <c r="AH1" s="59" t="s">
        <v>171</v>
      </c>
    </row>
    <row r="2" customFormat="false" ht="51.75" hidden="false" customHeight="true" outlineLevel="0" collapsed="false">
      <c r="A2" s="60" t="n">
        <v>1</v>
      </c>
      <c r="B2" s="60" t="s">
        <v>172</v>
      </c>
      <c r="C2" s="60" t="s">
        <v>173</v>
      </c>
      <c r="D2" s="60" t="s">
        <v>174</v>
      </c>
      <c r="E2" s="60" t="s">
        <v>175</v>
      </c>
      <c r="F2" s="60" t="s">
        <v>176</v>
      </c>
      <c r="G2" s="60" t="s">
        <v>177</v>
      </c>
      <c r="H2" s="60" t="s">
        <v>178</v>
      </c>
      <c r="I2" s="60" t="s">
        <v>179</v>
      </c>
      <c r="J2" s="60" t="s">
        <v>180</v>
      </c>
      <c r="K2" s="60" t="s">
        <v>181</v>
      </c>
      <c r="L2" s="60" t="s">
        <v>182</v>
      </c>
      <c r="M2" s="60" t="s">
        <v>183</v>
      </c>
      <c r="N2" s="60" t="s">
        <v>184</v>
      </c>
      <c r="O2" s="60" t="s">
        <v>185</v>
      </c>
      <c r="P2" s="60" t="s">
        <v>186</v>
      </c>
      <c r="Q2" s="60" t="s">
        <v>187</v>
      </c>
      <c r="R2" s="60" t="s">
        <v>187</v>
      </c>
      <c r="S2" s="60" t="s">
        <v>187</v>
      </c>
      <c r="T2" s="60" t="s">
        <v>188</v>
      </c>
      <c r="U2" s="60" t="s">
        <v>189</v>
      </c>
      <c r="V2" s="60" t="s">
        <v>187</v>
      </c>
      <c r="W2" s="60" t="s">
        <v>190</v>
      </c>
      <c r="X2" s="60" t="s">
        <v>191</v>
      </c>
      <c r="Y2" s="60" t="s">
        <v>192</v>
      </c>
      <c r="Z2" s="60" t="s">
        <v>193</v>
      </c>
      <c r="AA2" s="60" t="s">
        <v>194</v>
      </c>
      <c r="AB2" s="60" t="s">
        <v>195</v>
      </c>
      <c r="AC2" s="60" t="s">
        <v>196</v>
      </c>
      <c r="AD2" s="60" t="s">
        <v>197</v>
      </c>
      <c r="AE2" s="60" t="s">
        <v>198</v>
      </c>
      <c r="AF2" s="60" t="s">
        <v>199</v>
      </c>
      <c r="AG2" s="60" t="s">
        <v>200</v>
      </c>
      <c r="AH2" s="60" t="s">
        <v>201</v>
      </c>
    </row>
    <row r="3" customFormat="false" ht="77.25" hidden="false" customHeight="true" outlineLevel="0" collapsed="false">
      <c r="A3" s="60" t="n">
        <v>2</v>
      </c>
      <c r="B3" s="60" t="s">
        <v>202</v>
      </c>
      <c r="C3" s="60" t="s">
        <v>203</v>
      </c>
      <c r="D3" s="60" t="s">
        <v>204</v>
      </c>
      <c r="E3" s="60" t="s">
        <v>205</v>
      </c>
      <c r="F3" s="60" t="s">
        <v>198</v>
      </c>
      <c r="G3" s="60" t="s">
        <v>206</v>
      </c>
      <c r="H3" s="60" t="s">
        <v>38</v>
      </c>
      <c r="I3" s="60" t="s">
        <v>207</v>
      </c>
      <c r="J3" s="60" t="s">
        <v>208</v>
      </c>
      <c r="K3" s="60" t="s">
        <v>181</v>
      </c>
      <c r="L3" s="60" t="s">
        <v>209</v>
      </c>
      <c r="M3" s="60" t="s">
        <v>210</v>
      </c>
      <c r="N3" s="60" t="s">
        <v>211</v>
      </c>
      <c r="O3" s="60" t="s">
        <v>212</v>
      </c>
      <c r="P3" s="60" t="s">
        <v>213</v>
      </c>
      <c r="Q3" s="60" t="s">
        <v>187</v>
      </c>
      <c r="R3" s="60" t="s">
        <v>187</v>
      </c>
      <c r="S3" s="60" t="s">
        <v>214</v>
      </c>
      <c r="T3" s="60" t="s">
        <v>215</v>
      </c>
      <c r="U3" s="60" t="s">
        <v>216</v>
      </c>
      <c r="V3" s="60" t="s">
        <v>187</v>
      </c>
      <c r="W3" s="60" t="s">
        <v>190</v>
      </c>
      <c r="X3" s="60" t="s">
        <v>217</v>
      </c>
      <c r="Y3" s="60" t="s">
        <v>218</v>
      </c>
      <c r="Z3" s="60" t="s">
        <v>193</v>
      </c>
      <c r="AA3" s="60" t="s">
        <v>219</v>
      </c>
      <c r="AB3" s="60" t="s">
        <v>220</v>
      </c>
      <c r="AC3" s="60" t="s">
        <v>221</v>
      </c>
      <c r="AD3" s="60" t="s">
        <v>197</v>
      </c>
      <c r="AE3" s="60" t="s">
        <v>198</v>
      </c>
      <c r="AF3" s="60" t="s">
        <v>199</v>
      </c>
      <c r="AG3" s="60" t="s">
        <v>222</v>
      </c>
      <c r="AH3" s="60" t="s">
        <v>223</v>
      </c>
    </row>
    <row r="4" customFormat="false" ht="39" hidden="false" customHeight="true" outlineLevel="0" collapsed="false">
      <c r="A4" s="60" t="n">
        <v>3</v>
      </c>
      <c r="B4" s="60" t="s">
        <v>224</v>
      </c>
      <c r="C4" s="60" t="s">
        <v>225</v>
      </c>
      <c r="D4" s="60" t="s">
        <v>226</v>
      </c>
      <c r="E4" s="60" t="s">
        <v>227</v>
      </c>
      <c r="F4" s="60" t="s">
        <v>198</v>
      </c>
      <c r="G4" s="60" t="s">
        <v>228</v>
      </c>
      <c r="H4" s="60" t="s">
        <v>229</v>
      </c>
      <c r="I4" s="60" t="s">
        <v>230</v>
      </c>
      <c r="J4" s="60" t="s">
        <v>231</v>
      </c>
      <c r="K4" s="60" t="s">
        <v>181</v>
      </c>
      <c r="L4" s="60" t="s">
        <v>232</v>
      </c>
      <c r="M4" s="60" t="s">
        <v>233</v>
      </c>
      <c r="N4" s="60" t="s">
        <v>234</v>
      </c>
      <c r="O4" s="60" t="s">
        <v>235</v>
      </c>
      <c r="P4" s="60" t="s">
        <v>236</v>
      </c>
      <c r="Q4" s="60" t="s">
        <v>187</v>
      </c>
      <c r="R4" s="60" t="s">
        <v>187</v>
      </c>
      <c r="S4" s="60" t="s">
        <v>187</v>
      </c>
      <c r="T4" s="60" t="s">
        <v>237</v>
      </c>
      <c r="U4" s="60" t="s">
        <v>187</v>
      </c>
      <c r="V4" s="60" t="s">
        <v>187</v>
      </c>
      <c r="W4" s="60" t="s">
        <v>187</v>
      </c>
      <c r="X4" s="60" t="s">
        <v>191</v>
      </c>
      <c r="Y4" s="60" t="s">
        <v>238</v>
      </c>
      <c r="Z4" s="60" t="s">
        <v>193</v>
      </c>
      <c r="AA4" s="60" t="s">
        <v>194</v>
      </c>
      <c r="AB4" s="60" t="s">
        <v>239</v>
      </c>
      <c r="AC4" s="60" t="s">
        <v>240</v>
      </c>
      <c r="AD4" s="60" t="s">
        <v>197</v>
      </c>
      <c r="AE4" s="60" t="s">
        <v>198</v>
      </c>
      <c r="AF4" s="60" t="s">
        <v>241</v>
      </c>
      <c r="AG4" s="60" t="s">
        <v>198</v>
      </c>
      <c r="AH4" s="60" t="s">
        <v>242</v>
      </c>
    </row>
    <row r="5" customFormat="false" ht="90" hidden="false" customHeight="true" outlineLevel="0" collapsed="false">
      <c r="A5" s="60" t="n">
        <v>4</v>
      </c>
      <c r="B5" s="60" t="s">
        <v>243</v>
      </c>
      <c r="C5" s="60" t="s">
        <v>244</v>
      </c>
      <c r="D5" s="60" t="s">
        <v>245</v>
      </c>
      <c r="E5" s="60" t="s">
        <v>246</v>
      </c>
      <c r="F5" s="60" t="s">
        <v>198</v>
      </c>
      <c r="G5" s="60" t="s">
        <v>247</v>
      </c>
      <c r="H5" s="60" t="s">
        <v>248</v>
      </c>
      <c r="I5" s="60" t="s">
        <v>249</v>
      </c>
      <c r="J5" s="60" t="s">
        <v>250</v>
      </c>
      <c r="K5" s="60" t="s">
        <v>197</v>
      </c>
      <c r="L5" s="60" t="s">
        <v>251</v>
      </c>
      <c r="M5" s="60" t="s">
        <v>252</v>
      </c>
      <c r="N5" s="60" t="s">
        <v>184</v>
      </c>
      <c r="O5" s="60" t="s">
        <v>253</v>
      </c>
      <c r="P5" s="60" t="s">
        <v>254</v>
      </c>
      <c r="Q5" s="60" t="s">
        <v>187</v>
      </c>
      <c r="R5" s="60" t="s">
        <v>187</v>
      </c>
      <c r="S5" s="60" t="s">
        <v>187</v>
      </c>
      <c r="T5" s="60" t="s">
        <v>184</v>
      </c>
      <c r="U5" s="60" t="s">
        <v>187</v>
      </c>
      <c r="V5" s="60" t="s">
        <v>187</v>
      </c>
      <c r="W5" s="60" t="s">
        <v>255</v>
      </c>
      <c r="X5" s="60" t="s">
        <v>217</v>
      </c>
      <c r="Y5" s="60" t="s">
        <v>256</v>
      </c>
      <c r="Z5" s="60" t="s">
        <v>193</v>
      </c>
      <c r="AA5" s="60" t="s">
        <v>257</v>
      </c>
      <c r="AB5" s="60" t="s">
        <v>258</v>
      </c>
      <c r="AC5" s="60" t="s">
        <v>259</v>
      </c>
      <c r="AD5" s="60" t="s">
        <v>197</v>
      </c>
      <c r="AE5" s="60" t="s">
        <v>198</v>
      </c>
      <c r="AF5" s="60" t="s">
        <v>199</v>
      </c>
      <c r="AG5" s="60" t="s">
        <v>260</v>
      </c>
      <c r="AH5" s="60" t="s">
        <v>128</v>
      </c>
    </row>
    <row r="6" customFormat="false" ht="51.75" hidden="false" customHeight="true" outlineLevel="0" collapsed="false">
      <c r="A6" s="60" t="n">
        <v>5</v>
      </c>
      <c r="B6" s="60" t="s">
        <v>261</v>
      </c>
      <c r="C6" s="60" t="s">
        <v>262</v>
      </c>
      <c r="D6" s="60" t="s">
        <v>263</v>
      </c>
      <c r="E6" s="60" t="s">
        <v>264</v>
      </c>
      <c r="F6" s="60" t="s">
        <v>265</v>
      </c>
      <c r="G6" s="60" t="s">
        <v>266</v>
      </c>
      <c r="H6" s="60" t="s">
        <v>267</v>
      </c>
      <c r="I6" s="60" t="s">
        <v>268</v>
      </c>
      <c r="J6" s="60" t="s">
        <v>269</v>
      </c>
      <c r="K6" s="60" t="s">
        <v>270</v>
      </c>
      <c r="L6" s="60" t="s">
        <v>271</v>
      </c>
      <c r="M6" s="60" t="s">
        <v>272</v>
      </c>
      <c r="N6" s="60" t="s">
        <v>184</v>
      </c>
      <c r="O6" s="60"/>
      <c r="P6" s="60" t="s">
        <v>187</v>
      </c>
      <c r="Q6" s="60" t="s">
        <v>187</v>
      </c>
      <c r="R6" s="60" t="s">
        <v>187</v>
      </c>
      <c r="S6" s="60" t="s">
        <v>273</v>
      </c>
      <c r="T6" s="60" t="s">
        <v>184</v>
      </c>
      <c r="U6" s="60" t="s">
        <v>274</v>
      </c>
      <c r="V6" s="60" t="s">
        <v>187</v>
      </c>
      <c r="W6" s="60" t="s">
        <v>187</v>
      </c>
      <c r="X6" s="60" t="s">
        <v>275</v>
      </c>
      <c r="Y6" s="60" t="s">
        <v>276</v>
      </c>
      <c r="Z6" s="60" t="s">
        <v>277</v>
      </c>
      <c r="AA6" s="60" t="s">
        <v>194</v>
      </c>
      <c r="AB6" s="60" t="s">
        <v>278</v>
      </c>
      <c r="AC6" s="60" t="s">
        <v>279</v>
      </c>
      <c r="AD6" s="60" t="s">
        <v>280</v>
      </c>
      <c r="AE6" s="60" t="s">
        <v>198</v>
      </c>
      <c r="AF6" s="60" t="s">
        <v>199</v>
      </c>
      <c r="AG6" s="60" t="s">
        <v>281</v>
      </c>
      <c r="AH6" s="60" t="s">
        <v>282</v>
      </c>
    </row>
    <row r="7" customFormat="false" ht="51.75" hidden="false" customHeight="true" outlineLevel="0" collapsed="false">
      <c r="A7" s="60" t="n">
        <v>6</v>
      </c>
      <c r="B7" s="60" t="s">
        <v>283</v>
      </c>
      <c r="C7" s="60" t="s">
        <v>284</v>
      </c>
      <c r="D7" s="60" t="s">
        <v>285</v>
      </c>
      <c r="E7" s="60" t="s">
        <v>286</v>
      </c>
      <c r="F7" s="60" t="s">
        <v>198</v>
      </c>
      <c r="G7" s="60" t="s">
        <v>287</v>
      </c>
      <c r="H7" s="60" t="s">
        <v>288</v>
      </c>
      <c r="I7" s="60" t="s">
        <v>289</v>
      </c>
      <c r="J7" s="60" t="s">
        <v>290</v>
      </c>
      <c r="K7" s="60" t="s">
        <v>181</v>
      </c>
      <c r="L7" s="60" t="s">
        <v>291</v>
      </c>
      <c r="M7" s="60" t="s">
        <v>187</v>
      </c>
      <c r="N7" s="60" t="s">
        <v>184</v>
      </c>
      <c r="O7" s="60"/>
      <c r="P7" s="60" t="s">
        <v>187</v>
      </c>
      <c r="Q7" s="60" t="s">
        <v>292</v>
      </c>
      <c r="R7" s="60" t="s">
        <v>187</v>
      </c>
      <c r="S7" s="60" t="s">
        <v>187</v>
      </c>
      <c r="T7" s="60" t="s">
        <v>293</v>
      </c>
      <c r="U7" s="60" t="s">
        <v>187</v>
      </c>
      <c r="V7" s="60" t="s">
        <v>187</v>
      </c>
      <c r="W7" s="60" t="s">
        <v>294</v>
      </c>
      <c r="X7" s="60" t="s">
        <v>295</v>
      </c>
      <c r="Y7" s="60" t="s">
        <v>296</v>
      </c>
      <c r="Z7" s="60" t="s">
        <v>277</v>
      </c>
      <c r="AA7" s="60" t="s">
        <v>257</v>
      </c>
      <c r="AB7" s="60" t="s">
        <v>297</v>
      </c>
      <c r="AC7" s="60" t="s">
        <v>298</v>
      </c>
      <c r="AD7" s="60" t="s">
        <v>270</v>
      </c>
      <c r="AE7" s="60" t="s">
        <v>299</v>
      </c>
      <c r="AF7" s="60" t="s">
        <v>199</v>
      </c>
      <c r="AG7" s="60" t="s">
        <v>300</v>
      </c>
      <c r="AH7" s="60" t="s">
        <v>301</v>
      </c>
    </row>
    <row r="8" customFormat="false" ht="51.75" hidden="false" customHeight="true" outlineLevel="0" collapsed="false">
      <c r="A8" s="60" t="n">
        <v>7</v>
      </c>
      <c r="B8" s="60" t="s">
        <v>302</v>
      </c>
      <c r="C8" s="60" t="s">
        <v>303</v>
      </c>
      <c r="D8" s="60" t="s">
        <v>304</v>
      </c>
      <c r="E8" s="60" t="s">
        <v>305</v>
      </c>
      <c r="F8" s="60" t="s">
        <v>198</v>
      </c>
      <c r="G8" s="60" t="s">
        <v>306</v>
      </c>
      <c r="H8" s="60" t="s">
        <v>307</v>
      </c>
      <c r="I8" s="60" t="s">
        <v>308</v>
      </c>
      <c r="J8" s="60" t="s">
        <v>309</v>
      </c>
      <c r="K8" s="60" t="s">
        <v>270</v>
      </c>
      <c r="L8" s="60" t="s">
        <v>310</v>
      </c>
      <c r="M8" s="60" t="s">
        <v>311</v>
      </c>
      <c r="N8" s="60" t="s">
        <v>312</v>
      </c>
      <c r="O8" s="60"/>
      <c r="P8" s="60" t="s">
        <v>187</v>
      </c>
      <c r="Q8" s="60" t="s">
        <v>187</v>
      </c>
      <c r="R8" s="60" t="s">
        <v>187</v>
      </c>
      <c r="S8" s="60" t="s">
        <v>313</v>
      </c>
      <c r="T8" s="60" t="s">
        <v>314</v>
      </c>
      <c r="U8" s="60" t="s">
        <v>315</v>
      </c>
      <c r="V8" s="60" t="s">
        <v>187</v>
      </c>
      <c r="W8" s="60" t="s">
        <v>187</v>
      </c>
      <c r="X8" s="60" t="s">
        <v>316</v>
      </c>
      <c r="Y8" s="60" t="s">
        <v>317</v>
      </c>
      <c r="Z8" s="60" t="s">
        <v>318</v>
      </c>
      <c r="AA8" s="60" t="s">
        <v>194</v>
      </c>
      <c r="AB8" s="60" t="s">
        <v>319</v>
      </c>
      <c r="AC8" s="60" t="s">
        <v>320</v>
      </c>
      <c r="AD8" s="60" t="s">
        <v>197</v>
      </c>
      <c r="AE8" s="60" t="s">
        <v>198</v>
      </c>
      <c r="AF8" s="60" t="s">
        <v>241</v>
      </c>
      <c r="AG8" s="60" t="s">
        <v>198</v>
      </c>
      <c r="AH8" s="60" t="s">
        <v>321</v>
      </c>
    </row>
    <row r="9" customFormat="false" ht="64.5" hidden="false" customHeight="true" outlineLevel="0" collapsed="false">
      <c r="A9" s="60" t="n">
        <v>8</v>
      </c>
      <c r="B9" s="60" t="s">
        <v>322</v>
      </c>
      <c r="C9" s="60" t="s">
        <v>323</v>
      </c>
      <c r="D9" s="60" t="s">
        <v>324</v>
      </c>
      <c r="E9" s="60" t="s">
        <v>325</v>
      </c>
      <c r="F9" s="60" t="s">
        <v>198</v>
      </c>
      <c r="G9" s="60" t="s">
        <v>326</v>
      </c>
      <c r="H9" s="60" t="s">
        <v>327</v>
      </c>
      <c r="I9" s="60" t="s">
        <v>328</v>
      </c>
      <c r="J9" s="60" t="s">
        <v>329</v>
      </c>
      <c r="K9" s="60" t="s">
        <v>181</v>
      </c>
      <c r="L9" s="60" t="s">
        <v>330</v>
      </c>
      <c r="M9" s="60" t="s">
        <v>331</v>
      </c>
      <c r="N9" s="60" t="s">
        <v>332</v>
      </c>
      <c r="O9" s="60"/>
      <c r="P9" s="60" t="s">
        <v>187</v>
      </c>
      <c r="Q9" s="60" t="s">
        <v>187</v>
      </c>
      <c r="R9" s="60" t="s">
        <v>333</v>
      </c>
      <c r="S9" s="60" t="s">
        <v>187</v>
      </c>
      <c r="T9" s="60" t="s">
        <v>184</v>
      </c>
      <c r="U9" s="60" t="s">
        <v>334</v>
      </c>
      <c r="V9" s="60" t="s">
        <v>187</v>
      </c>
      <c r="W9" s="60" t="s">
        <v>335</v>
      </c>
      <c r="X9" s="60" t="s">
        <v>217</v>
      </c>
      <c r="Y9" s="60" t="s">
        <v>336</v>
      </c>
      <c r="Z9" s="60" t="s">
        <v>318</v>
      </c>
      <c r="AA9" s="60" t="s">
        <v>219</v>
      </c>
      <c r="AB9" s="60" t="s">
        <v>337</v>
      </c>
      <c r="AC9" s="60" t="s">
        <v>338</v>
      </c>
      <c r="AD9" s="60" t="s">
        <v>197</v>
      </c>
      <c r="AE9" s="60" t="s">
        <v>198</v>
      </c>
      <c r="AF9" s="60" t="s">
        <v>199</v>
      </c>
      <c r="AG9" s="60" t="s">
        <v>339</v>
      </c>
      <c r="AH9" s="60" t="s">
        <v>340</v>
      </c>
    </row>
    <row r="10" customFormat="false" ht="39" hidden="false" customHeight="true" outlineLevel="0" collapsed="false">
      <c r="A10" s="60" t="n">
        <v>9</v>
      </c>
      <c r="B10" s="60" t="s">
        <v>341</v>
      </c>
      <c r="C10" s="60" t="s">
        <v>342</v>
      </c>
      <c r="D10" s="60" t="s">
        <v>343</v>
      </c>
      <c r="E10" s="60" t="s">
        <v>344</v>
      </c>
      <c r="F10" s="60" t="s">
        <v>198</v>
      </c>
      <c r="G10" s="60" t="s">
        <v>345</v>
      </c>
      <c r="H10" s="60" t="s">
        <v>346</v>
      </c>
      <c r="I10" s="60"/>
      <c r="J10" s="60" t="s">
        <v>347</v>
      </c>
      <c r="K10" s="60" t="s">
        <v>181</v>
      </c>
      <c r="L10" s="60" t="s">
        <v>348</v>
      </c>
      <c r="M10" s="60" t="s">
        <v>233</v>
      </c>
      <c r="N10" s="60" t="s">
        <v>184</v>
      </c>
      <c r="O10" s="60"/>
      <c r="P10" s="60" t="s">
        <v>187</v>
      </c>
      <c r="Q10" s="60" t="s">
        <v>187</v>
      </c>
      <c r="R10" s="60" t="s">
        <v>187</v>
      </c>
      <c r="S10" s="60" t="s">
        <v>187</v>
      </c>
      <c r="T10" s="60" t="s">
        <v>184</v>
      </c>
      <c r="U10" s="60" t="s">
        <v>187</v>
      </c>
      <c r="V10" s="60" t="s">
        <v>187</v>
      </c>
      <c r="W10" s="60" t="s">
        <v>294</v>
      </c>
      <c r="X10" s="60" t="s">
        <v>217</v>
      </c>
      <c r="Y10" s="60" t="s">
        <v>349</v>
      </c>
      <c r="Z10" s="60" t="s">
        <v>318</v>
      </c>
      <c r="AA10" s="60" t="s">
        <v>350</v>
      </c>
      <c r="AB10" s="60" t="s">
        <v>351</v>
      </c>
      <c r="AC10" s="60" t="s">
        <v>352</v>
      </c>
      <c r="AD10" s="60" t="s">
        <v>197</v>
      </c>
      <c r="AE10" s="60" t="s">
        <v>198</v>
      </c>
      <c r="AF10" s="60" t="s">
        <v>199</v>
      </c>
      <c r="AG10" s="60" t="s">
        <v>353</v>
      </c>
      <c r="AH10" s="60" t="s">
        <v>124</v>
      </c>
    </row>
    <row r="11" customFormat="false" ht="77.25" hidden="false" customHeight="true" outlineLevel="0" collapsed="false">
      <c r="A11" s="60" t="n">
        <v>10</v>
      </c>
      <c r="B11" s="60" t="s">
        <v>354</v>
      </c>
      <c r="C11" s="60" t="s">
        <v>355</v>
      </c>
      <c r="D11" s="60" t="s">
        <v>356</v>
      </c>
      <c r="E11" s="60" t="s">
        <v>357</v>
      </c>
      <c r="F11" s="60" t="s">
        <v>358</v>
      </c>
      <c r="G11" s="60" t="s">
        <v>359</v>
      </c>
      <c r="H11" s="60" t="s">
        <v>360</v>
      </c>
      <c r="I11" s="60" t="s">
        <v>361</v>
      </c>
      <c r="J11" s="60" t="s">
        <v>362</v>
      </c>
      <c r="K11" s="60" t="s">
        <v>181</v>
      </c>
      <c r="L11" s="60" t="s">
        <v>363</v>
      </c>
      <c r="M11" s="60" t="s">
        <v>364</v>
      </c>
      <c r="N11" s="60" t="s">
        <v>365</v>
      </c>
      <c r="O11" s="60" t="s">
        <v>366</v>
      </c>
      <c r="P11" s="60" t="s">
        <v>367</v>
      </c>
      <c r="Q11" s="60" t="s">
        <v>187</v>
      </c>
      <c r="R11" s="60" t="s">
        <v>187</v>
      </c>
      <c r="S11" s="60" t="s">
        <v>187</v>
      </c>
      <c r="T11" s="60" t="s">
        <v>184</v>
      </c>
      <c r="U11" s="60" t="s">
        <v>187</v>
      </c>
      <c r="V11" s="60" t="s">
        <v>187</v>
      </c>
      <c r="W11" s="60" t="s">
        <v>187</v>
      </c>
      <c r="X11" s="60" t="s">
        <v>217</v>
      </c>
      <c r="Y11" s="60" t="s">
        <v>368</v>
      </c>
      <c r="Z11" s="60" t="s">
        <v>277</v>
      </c>
      <c r="AA11" s="60" t="s">
        <v>369</v>
      </c>
      <c r="AB11" s="60" t="s">
        <v>370</v>
      </c>
      <c r="AC11" s="60" t="s">
        <v>371</v>
      </c>
      <c r="AD11" s="60" t="s">
        <v>280</v>
      </c>
      <c r="AE11" s="60" t="s">
        <v>372</v>
      </c>
      <c r="AF11" s="60" t="s">
        <v>199</v>
      </c>
      <c r="AG11" s="60" t="s">
        <v>373</v>
      </c>
      <c r="AH11" s="60" t="s">
        <v>374</v>
      </c>
    </row>
    <row r="12" customFormat="false" ht="51.75" hidden="false" customHeight="true" outlineLevel="0" collapsed="false">
      <c r="A12" s="60" t="n">
        <v>11</v>
      </c>
      <c r="B12" s="60" t="s">
        <v>375</v>
      </c>
      <c r="C12" s="60" t="s">
        <v>376</v>
      </c>
      <c r="D12" s="60" t="s">
        <v>377</v>
      </c>
      <c r="E12" s="60" t="s">
        <v>378</v>
      </c>
      <c r="F12" s="60" t="s">
        <v>379</v>
      </c>
      <c r="G12" s="60" t="s">
        <v>228</v>
      </c>
      <c r="H12" s="60" t="s">
        <v>360</v>
      </c>
      <c r="I12" s="60" t="s">
        <v>380</v>
      </c>
      <c r="J12" s="60" t="s">
        <v>381</v>
      </c>
      <c r="K12" s="60" t="s">
        <v>181</v>
      </c>
      <c r="L12" s="60" t="s">
        <v>382</v>
      </c>
      <c r="M12" s="60" t="s">
        <v>383</v>
      </c>
      <c r="N12" s="60" t="s">
        <v>365</v>
      </c>
      <c r="O12" s="60"/>
      <c r="P12" s="60" t="s">
        <v>384</v>
      </c>
      <c r="Q12" s="60" t="s">
        <v>187</v>
      </c>
      <c r="R12" s="60" t="s">
        <v>187</v>
      </c>
      <c r="S12" s="60" t="s">
        <v>187</v>
      </c>
      <c r="T12" s="60" t="s">
        <v>188</v>
      </c>
      <c r="U12" s="60" t="s">
        <v>187</v>
      </c>
      <c r="V12" s="60" t="s">
        <v>187</v>
      </c>
      <c r="W12" s="60" t="s">
        <v>187</v>
      </c>
      <c r="X12" s="60" t="s">
        <v>217</v>
      </c>
      <c r="Y12" s="60" t="s">
        <v>385</v>
      </c>
      <c r="Z12" s="60" t="s">
        <v>193</v>
      </c>
      <c r="AA12" s="60" t="s">
        <v>257</v>
      </c>
      <c r="AB12" s="60" t="s">
        <v>386</v>
      </c>
      <c r="AC12" s="60" t="s">
        <v>387</v>
      </c>
      <c r="AD12" s="60" t="s">
        <v>280</v>
      </c>
      <c r="AE12" s="60" t="s">
        <v>198</v>
      </c>
      <c r="AF12" s="60" t="s">
        <v>199</v>
      </c>
      <c r="AG12" s="60" t="s">
        <v>388</v>
      </c>
      <c r="AH12" s="60" t="s">
        <v>389</v>
      </c>
    </row>
    <row r="13" customFormat="false" ht="51.75" hidden="false" customHeight="true" outlineLevel="0" collapsed="false">
      <c r="A13" s="60" t="n">
        <v>12</v>
      </c>
      <c r="B13" s="60" t="s">
        <v>390</v>
      </c>
      <c r="C13" s="60" t="s">
        <v>391</v>
      </c>
      <c r="D13" s="60" t="s">
        <v>392</v>
      </c>
      <c r="E13" s="60" t="s">
        <v>393</v>
      </c>
      <c r="F13" s="60" t="s">
        <v>198</v>
      </c>
      <c r="G13" s="60" t="s">
        <v>394</v>
      </c>
      <c r="H13" s="60" t="s">
        <v>360</v>
      </c>
      <c r="I13" s="60" t="s">
        <v>395</v>
      </c>
      <c r="J13" s="60" t="s">
        <v>396</v>
      </c>
      <c r="K13" s="60" t="s">
        <v>181</v>
      </c>
      <c r="L13" s="60" t="s">
        <v>382</v>
      </c>
      <c r="M13" s="60" t="s">
        <v>383</v>
      </c>
      <c r="N13" s="60" t="s">
        <v>365</v>
      </c>
      <c r="O13" s="60"/>
      <c r="P13" s="60" t="s">
        <v>397</v>
      </c>
      <c r="Q13" s="60" t="s">
        <v>187</v>
      </c>
      <c r="R13" s="60" t="s">
        <v>187</v>
      </c>
      <c r="S13" s="60" t="s">
        <v>187</v>
      </c>
      <c r="T13" s="60" t="s">
        <v>237</v>
      </c>
      <c r="U13" s="60" t="s">
        <v>187</v>
      </c>
      <c r="V13" s="60" t="s">
        <v>187</v>
      </c>
      <c r="W13" s="60" t="s">
        <v>187</v>
      </c>
      <c r="X13" s="60" t="s">
        <v>217</v>
      </c>
      <c r="Y13" s="60" t="s">
        <v>398</v>
      </c>
      <c r="Z13" s="60" t="s">
        <v>193</v>
      </c>
      <c r="AA13" s="60" t="s">
        <v>257</v>
      </c>
      <c r="AB13" s="60" t="s">
        <v>399</v>
      </c>
      <c r="AC13" s="60" t="s">
        <v>400</v>
      </c>
      <c r="AD13" s="60" t="s">
        <v>280</v>
      </c>
      <c r="AE13" s="60" t="s">
        <v>401</v>
      </c>
      <c r="AF13" s="60" t="s">
        <v>241</v>
      </c>
      <c r="AG13" s="60" t="s">
        <v>198</v>
      </c>
      <c r="AH13" s="60" t="s">
        <v>402</v>
      </c>
    </row>
    <row r="14" customFormat="false" ht="64.5" hidden="false" customHeight="true" outlineLevel="0" collapsed="false">
      <c r="A14" s="60" t="n">
        <v>13</v>
      </c>
      <c r="B14" s="60" t="s">
        <v>403</v>
      </c>
      <c r="C14" s="60" t="s">
        <v>404</v>
      </c>
      <c r="D14" s="60" t="s">
        <v>405</v>
      </c>
      <c r="E14" s="60" t="s">
        <v>406</v>
      </c>
      <c r="F14" s="60" t="s">
        <v>198</v>
      </c>
      <c r="G14" s="60" t="s">
        <v>407</v>
      </c>
      <c r="H14" s="60" t="s">
        <v>408</v>
      </c>
      <c r="I14" s="60" t="s">
        <v>409</v>
      </c>
      <c r="J14" s="60" t="s">
        <v>410</v>
      </c>
      <c r="K14" s="60" t="s">
        <v>181</v>
      </c>
      <c r="L14" s="60" t="s">
        <v>411</v>
      </c>
      <c r="M14" s="60" t="s">
        <v>412</v>
      </c>
      <c r="N14" s="60" t="s">
        <v>413</v>
      </c>
      <c r="O14" s="60"/>
      <c r="P14" s="60" t="s">
        <v>187</v>
      </c>
      <c r="Q14" s="60" t="s">
        <v>187</v>
      </c>
      <c r="R14" s="60" t="s">
        <v>187</v>
      </c>
      <c r="S14" s="60" t="s">
        <v>414</v>
      </c>
      <c r="T14" s="60" t="s">
        <v>184</v>
      </c>
      <c r="U14" s="60" t="s">
        <v>415</v>
      </c>
      <c r="V14" s="60" t="s">
        <v>187</v>
      </c>
      <c r="W14" s="60" t="s">
        <v>187</v>
      </c>
      <c r="X14" s="60" t="s">
        <v>416</v>
      </c>
      <c r="Y14" s="60" t="s">
        <v>417</v>
      </c>
      <c r="Z14" s="60" t="s">
        <v>277</v>
      </c>
      <c r="AA14" s="60" t="s">
        <v>257</v>
      </c>
      <c r="AB14" s="60" t="s">
        <v>418</v>
      </c>
      <c r="AC14" s="60" t="s">
        <v>419</v>
      </c>
      <c r="AD14" s="60" t="s">
        <v>197</v>
      </c>
      <c r="AE14" s="60" t="s">
        <v>198</v>
      </c>
      <c r="AF14" s="60" t="s">
        <v>199</v>
      </c>
      <c r="AG14" s="60" t="s">
        <v>420</v>
      </c>
      <c r="AH14" s="60" t="s">
        <v>421</v>
      </c>
    </row>
    <row r="15" customFormat="false" ht="39" hidden="false" customHeight="true" outlineLevel="0" collapsed="false">
      <c r="A15" s="60" t="n">
        <v>14</v>
      </c>
      <c r="B15" s="60" t="s">
        <v>422</v>
      </c>
      <c r="C15" s="60" t="s">
        <v>423</v>
      </c>
      <c r="D15" s="60" t="s">
        <v>424</v>
      </c>
      <c r="E15" s="60" t="s">
        <v>425</v>
      </c>
      <c r="F15" s="60" t="s">
        <v>198</v>
      </c>
      <c r="G15" s="60" t="s">
        <v>426</v>
      </c>
      <c r="H15" s="60" t="s">
        <v>427</v>
      </c>
      <c r="I15" s="60"/>
      <c r="J15" s="60" t="s">
        <v>428</v>
      </c>
      <c r="K15" s="60" t="s">
        <v>270</v>
      </c>
      <c r="L15" s="60" t="s">
        <v>429</v>
      </c>
      <c r="M15" s="60" t="s">
        <v>187</v>
      </c>
      <c r="N15" s="60" t="s">
        <v>184</v>
      </c>
      <c r="O15" s="60"/>
      <c r="P15" s="60" t="s">
        <v>430</v>
      </c>
      <c r="Q15" s="60" t="s">
        <v>187</v>
      </c>
      <c r="R15" s="60" t="s">
        <v>187</v>
      </c>
      <c r="S15" s="60" t="s">
        <v>187</v>
      </c>
      <c r="T15" s="60" t="s">
        <v>184</v>
      </c>
      <c r="U15" s="60" t="s">
        <v>431</v>
      </c>
      <c r="V15" s="60" t="s">
        <v>432</v>
      </c>
      <c r="W15" s="60" t="s">
        <v>433</v>
      </c>
      <c r="X15" s="60" t="s">
        <v>434</v>
      </c>
      <c r="Y15" s="60" t="s">
        <v>435</v>
      </c>
      <c r="Z15" s="60" t="s">
        <v>277</v>
      </c>
      <c r="AA15" s="60" t="s">
        <v>350</v>
      </c>
      <c r="AB15" s="60" t="s">
        <v>436</v>
      </c>
      <c r="AC15" s="60" t="s">
        <v>437</v>
      </c>
      <c r="AD15" s="60" t="s">
        <v>280</v>
      </c>
      <c r="AE15" s="60" t="s">
        <v>198</v>
      </c>
      <c r="AF15" s="60" t="s">
        <v>199</v>
      </c>
      <c r="AG15" s="60" t="s">
        <v>438</v>
      </c>
      <c r="AH15" s="60" t="s">
        <v>439</v>
      </c>
    </row>
    <row r="16" customFormat="false" ht="51.75" hidden="false" customHeight="true" outlineLevel="0" collapsed="false">
      <c r="A16" s="60" t="n">
        <v>15</v>
      </c>
      <c r="B16" s="60" t="s">
        <v>440</v>
      </c>
      <c r="C16" s="60" t="s">
        <v>441</v>
      </c>
      <c r="D16" s="60" t="s">
        <v>442</v>
      </c>
      <c r="E16" s="60" t="s">
        <v>443</v>
      </c>
      <c r="F16" s="60" t="s">
        <v>444</v>
      </c>
      <c r="G16" s="60" t="s">
        <v>445</v>
      </c>
      <c r="H16" s="60" t="s">
        <v>38</v>
      </c>
      <c r="I16" s="60" t="s">
        <v>446</v>
      </c>
      <c r="J16" s="60" t="s">
        <v>447</v>
      </c>
      <c r="K16" s="60" t="s">
        <v>181</v>
      </c>
      <c r="L16" s="60" t="s">
        <v>448</v>
      </c>
      <c r="M16" s="60" t="s">
        <v>449</v>
      </c>
      <c r="N16" s="60" t="s">
        <v>184</v>
      </c>
      <c r="O16" s="60"/>
      <c r="P16" s="60" t="s">
        <v>187</v>
      </c>
      <c r="Q16" s="60" t="s">
        <v>187</v>
      </c>
      <c r="R16" s="60" t="s">
        <v>187</v>
      </c>
      <c r="S16" s="60" t="s">
        <v>450</v>
      </c>
      <c r="T16" s="60" t="s">
        <v>451</v>
      </c>
      <c r="U16" s="60" t="s">
        <v>452</v>
      </c>
      <c r="V16" s="60" t="s">
        <v>187</v>
      </c>
      <c r="W16" s="60" t="s">
        <v>187</v>
      </c>
      <c r="X16" s="60" t="s">
        <v>453</v>
      </c>
      <c r="Y16" s="60" t="s">
        <v>454</v>
      </c>
      <c r="Z16" s="60" t="s">
        <v>277</v>
      </c>
      <c r="AA16" s="60" t="s">
        <v>194</v>
      </c>
      <c r="AB16" s="60" t="s">
        <v>455</v>
      </c>
      <c r="AC16" s="60" t="s">
        <v>456</v>
      </c>
      <c r="AD16" s="60" t="s">
        <v>280</v>
      </c>
      <c r="AE16" s="60" t="s">
        <v>198</v>
      </c>
      <c r="AF16" s="60" t="s">
        <v>199</v>
      </c>
      <c r="AG16" s="60" t="s">
        <v>457</v>
      </c>
      <c r="AH16" s="60" t="s">
        <v>458</v>
      </c>
    </row>
    <row r="17" customFormat="false" ht="51.75" hidden="false" customHeight="true" outlineLevel="0" collapsed="false">
      <c r="A17" s="60" t="n">
        <v>16</v>
      </c>
      <c r="B17" s="60" t="s">
        <v>459</v>
      </c>
      <c r="C17" s="60" t="s">
        <v>460</v>
      </c>
      <c r="D17" s="60" t="s">
        <v>461</v>
      </c>
      <c r="E17" s="60" t="s">
        <v>462</v>
      </c>
      <c r="F17" s="60" t="s">
        <v>198</v>
      </c>
      <c r="G17" s="60" t="s">
        <v>359</v>
      </c>
      <c r="H17" s="60" t="s">
        <v>360</v>
      </c>
      <c r="I17" s="60"/>
      <c r="J17" s="60" t="s">
        <v>463</v>
      </c>
      <c r="K17" s="60" t="s">
        <v>197</v>
      </c>
      <c r="L17" s="60" t="s">
        <v>363</v>
      </c>
      <c r="M17" s="60" t="s">
        <v>464</v>
      </c>
      <c r="N17" s="60" t="s">
        <v>365</v>
      </c>
      <c r="O17" s="60"/>
      <c r="P17" s="60" t="s">
        <v>187</v>
      </c>
      <c r="Q17" s="60" t="s">
        <v>187</v>
      </c>
      <c r="R17" s="60" t="s">
        <v>187</v>
      </c>
      <c r="S17" s="60" t="s">
        <v>187</v>
      </c>
      <c r="T17" s="60" t="s">
        <v>184</v>
      </c>
      <c r="U17" s="60" t="s">
        <v>187</v>
      </c>
      <c r="V17" s="60" t="s">
        <v>187</v>
      </c>
      <c r="W17" s="60" t="s">
        <v>465</v>
      </c>
      <c r="X17" s="60" t="s">
        <v>217</v>
      </c>
      <c r="Y17" s="60" t="s">
        <v>466</v>
      </c>
      <c r="Z17" s="60" t="s">
        <v>193</v>
      </c>
      <c r="AA17" s="60" t="s">
        <v>350</v>
      </c>
      <c r="AB17" s="60" t="s">
        <v>467</v>
      </c>
      <c r="AC17" s="60" t="s">
        <v>468</v>
      </c>
      <c r="AD17" s="60" t="s">
        <v>197</v>
      </c>
      <c r="AE17" s="60" t="s">
        <v>198</v>
      </c>
      <c r="AF17" s="60" t="s">
        <v>241</v>
      </c>
      <c r="AG17" s="60" t="s">
        <v>198</v>
      </c>
      <c r="AH17" s="60" t="s">
        <v>469</v>
      </c>
    </row>
    <row r="18" customFormat="false" ht="51.75" hidden="false" customHeight="true" outlineLevel="0" collapsed="false">
      <c r="A18" s="60" t="n">
        <v>17</v>
      </c>
      <c r="B18" s="60" t="s">
        <v>470</v>
      </c>
      <c r="C18" s="60" t="s">
        <v>471</v>
      </c>
      <c r="D18" s="60" t="s">
        <v>472</v>
      </c>
      <c r="E18" s="60" t="s">
        <v>473</v>
      </c>
      <c r="F18" s="60" t="s">
        <v>198</v>
      </c>
      <c r="G18" s="60" t="s">
        <v>474</v>
      </c>
      <c r="H18" s="60" t="s">
        <v>475</v>
      </c>
      <c r="I18" s="60" t="s">
        <v>476</v>
      </c>
      <c r="J18" s="60" t="s">
        <v>477</v>
      </c>
      <c r="K18" s="60" t="s">
        <v>181</v>
      </c>
      <c r="L18" s="60" t="s">
        <v>478</v>
      </c>
      <c r="M18" s="60" t="s">
        <v>479</v>
      </c>
      <c r="N18" s="60" t="s">
        <v>184</v>
      </c>
      <c r="O18" s="60" t="s">
        <v>480</v>
      </c>
      <c r="P18" s="60" t="s">
        <v>481</v>
      </c>
      <c r="Q18" s="60" t="s">
        <v>187</v>
      </c>
      <c r="R18" s="60" t="s">
        <v>187</v>
      </c>
      <c r="S18" s="60" t="s">
        <v>187</v>
      </c>
      <c r="T18" s="60" t="s">
        <v>184</v>
      </c>
      <c r="U18" s="60" t="s">
        <v>315</v>
      </c>
      <c r="V18" s="60" t="s">
        <v>187</v>
      </c>
      <c r="W18" s="60" t="s">
        <v>433</v>
      </c>
      <c r="X18" s="60" t="s">
        <v>217</v>
      </c>
      <c r="Y18" s="60" t="s">
        <v>482</v>
      </c>
      <c r="Z18" s="60" t="s">
        <v>277</v>
      </c>
      <c r="AA18" s="60" t="s">
        <v>194</v>
      </c>
      <c r="AB18" s="60" t="s">
        <v>483</v>
      </c>
      <c r="AC18" s="60" t="s">
        <v>484</v>
      </c>
      <c r="AD18" s="60" t="s">
        <v>197</v>
      </c>
      <c r="AE18" s="60" t="s">
        <v>198</v>
      </c>
      <c r="AF18" s="60" t="s">
        <v>199</v>
      </c>
      <c r="AG18" s="60" t="s">
        <v>485</v>
      </c>
      <c r="AH18" s="60" t="s">
        <v>486</v>
      </c>
    </row>
    <row r="19" customFormat="false" ht="39" hidden="false" customHeight="true" outlineLevel="0" collapsed="false">
      <c r="A19" s="60" t="n">
        <v>18</v>
      </c>
      <c r="B19" s="60" t="s">
        <v>487</v>
      </c>
      <c r="C19" s="60" t="s">
        <v>488</v>
      </c>
      <c r="D19" s="60" t="s">
        <v>489</v>
      </c>
      <c r="E19" s="60" t="s">
        <v>490</v>
      </c>
      <c r="F19" s="60" t="s">
        <v>491</v>
      </c>
      <c r="G19" s="60" t="s">
        <v>492</v>
      </c>
      <c r="H19" s="60" t="s">
        <v>493</v>
      </c>
      <c r="I19" s="60"/>
      <c r="J19" s="60" t="s">
        <v>494</v>
      </c>
      <c r="K19" s="60" t="s">
        <v>181</v>
      </c>
      <c r="L19" s="60" t="s">
        <v>495</v>
      </c>
      <c r="M19" s="60" t="s">
        <v>187</v>
      </c>
      <c r="N19" s="60" t="s">
        <v>184</v>
      </c>
      <c r="O19" s="60"/>
      <c r="P19" s="60" t="s">
        <v>187</v>
      </c>
      <c r="Q19" s="60" t="s">
        <v>187</v>
      </c>
      <c r="R19" s="60" t="s">
        <v>187</v>
      </c>
      <c r="S19" s="60" t="s">
        <v>187</v>
      </c>
      <c r="T19" s="60" t="s">
        <v>184</v>
      </c>
      <c r="U19" s="60" t="s">
        <v>415</v>
      </c>
      <c r="V19" s="60" t="s">
        <v>187</v>
      </c>
      <c r="W19" s="60" t="s">
        <v>187</v>
      </c>
      <c r="X19" s="60" t="s">
        <v>496</v>
      </c>
      <c r="Y19" s="60" t="s">
        <v>497</v>
      </c>
      <c r="Z19" s="60" t="s">
        <v>318</v>
      </c>
      <c r="AA19" s="60" t="s">
        <v>194</v>
      </c>
      <c r="AB19" s="60" t="s">
        <v>498</v>
      </c>
      <c r="AC19" s="60" t="s">
        <v>499</v>
      </c>
      <c r="AD19" s="60" t="s">
        <v>197</v>
      </c>
      <c r="AE19" s="60" t="s">
        <v>198</v>
      </c>
      <c r="AF19" s="60" t="s">
        <v>241</v>
      </c>
      <c r="AG19" s="60" t="s">
        <v>198</v>
      </c>
      <c r="AH19" s="60" t="s">
        <v>500</v>
      </c>
    </row>
    <row r="20" customFormat="false" ht="39" hidden="false" customHeight="true" outlineLevel="0" collapsed="false">
      <c r="A20" s="60" t="n">
        <v>19</v>
      </c>
      <c r="B20" s="60" t="s">
        <v>501</v>
      </c>
      <c r="C20" s="60" t="s">
        <v>502</v>
      </c>
      <c r="D20" s="60" t="s">
        <v>503</v>
      </c>
      <c r="E20" s="60" t="s">
        <v>504</v>
      </c>
      <c r="F20" s="60" t="s">
        <v>198</v>
      </c>
      <c r="G20" s="60" t="s">
        <v>505</v>
      </c>
      <c r="H20" s="60" t="s">
        <v>360</v>
      </c>
      <c r="I20" s="60"/>
      <c r="J20" s="60" t="s">
        <v>506</v>
      </c>
      <c r="K20" s="60" t="s">
        <v>181</v>
      </c>
      <c r="L20" s="60" t="s">
        <v>507</v>
      </c>
      <c r="M20" s="60" t="s">
        <v>508</v>
      </c>
      <c r="N20" s="60" t="s">
        <v>509</v>
      </c>
      <c r="O20" s="60"/>
      <c r="P20" s="60" t="s">
        <v>187</v>
      </c>
      <c r="Q20" s="60" t="s">
        <v>187</v>
      </c>
      <c r="R20" s="60" t="s">
        <v>187</v>
      </c>
      <c r="S20" s="60" t="s">
        <v>187</v>
      </c>
      <c r="T20" s="60" t="s">
        <v>184</v>
      </c>
      <c r="U20" s="60" t="s">
        <v>510</v>
      </c>
      <c r="V20" s="60" t="s">
        <v>187</v>
      </c>
      <c r="W20" s="60" t="s">
        <v>187</v>
      </c>
      <c r="X20" s="60" t="s">
        <v>217</v>
      </c>
      <c r="Y20" s="60" t="s">
        <v>511</v>
      </c>
      <c r="Z20" s="60" t="s">
        <v>277</v>
      </c>
      <c r="AA20" s="60" t="s">
        <v>512</v>
      </c>
      <c r="AB20" s="60" t="s">
        <v>513</v>
      </c>
      <c r="AC20" s="60" t="s">
        <v>514</v>
      </c>
      <c r="AD20" s="60" t="s">
        <v>197</v>
      </c>
      <c r="AE20" s="60" t="s">
        <v>198</v>
      </c>
      <c r="AF20" s="60" t="s">
        <v>241</v>
      </c>
      <c r="AG20" s="60" t="s">
        <v>198</v>
      </c>
      <c r="AH20" s="60" t="s">
        <v>469</v>
      </c>
    </row>
    <row r="21" customFormat="false" ht="51.75" hidden="false" customHeight="true" outlineLevel="0" collapsed="false">
      <c r="A21" s="60" t="n">
        <v>20</v>
      </c>
      <c r="B21" s="60" t="s">
        <v>515</v>
      </c>
      <c r="C21" s="60" t="s">
        <v>516</v>
      </c>
      <c r="D21" s="60" t="s">
        <v>517</v>
      </c>
      <c r="E21" s="60" t="s">
        <v>518</v>
      </c>
      <c r="F21" s="60" t="s">
        <v>198</v>
      </c>
      <c r="G21" s="60" t="s">
        <v>519</v>
      </c>
      <c r="H21" s="60" t="s">
        <v>178</v>
      </c>
      <c r="I21" s="60" t="s">
        <v>520</v>
      </c>
      <c r="J21" s="60" t="s">
        <v>191</v>
      </c>
      <c r="K21" s="60" t="s">
        <v>270</v>
      </c>
      <c r="L21" s="60" t="s">
        <v>521</v>
      </c>
      <c r="M21" s="60" t="s">
        <v>522</v>
      </c>
      <c r="N21" s="60" t="s">
        <v>312</v>
      </c>
      <c r="O21" s="60"/>
      <c r="P21" s="60" t="s">
        <v>523</v>
      </c>
      <c r="Q21" s="60" t="s">
        <v>187</v>
      </c>
      <c r="R21" s="60" t="s">
        <v>187</v>
      </c>
      <c r="S21" s="60" t="s">
        <v>187</v>
      </c>
      <c r="T21" s="60" t="s">
        <v>184</v>
      </c>
      <c r="U21" s="60" t="s">
        <v>187</v>
      </c>
      <c r="V21" s="60" t="s">
        <v>187</v>
      </c>
      <c r="W21" s="60" t="s">
        <v>187</v>
      </c>
      <c r="X21" s="60" t="s">
        <v>524</v>
      </c>
      <c r="Y21" s="60" t="s">
        <v>525</v>
      </c>
      <c r="Z21" s="60" t="s">
        <v>277</v>
      </c>
      <c r="AA21" s="60" t="s">
        <v>194</v>
      </c>
      <c r="AB21" s="60" t="s">
        <v>526</v>
      </c>
      <c r="AC21" s="60" t="s">
        <v>527</v>
      </c>
      <c r="AD21" s="60" t="s">
        <v>197</v>
      </c>
      <c r="AE21" s="60" t="s">
        <v>198</v>
      </c>
      <c r="AF21" s="60" t="s">
        <v>199</v>
      </c>
      <c r="AG21" s="60" t="s">
        <v>528</v>
      </c>
      <c r="AH21" s="60" t="s">
        <v>529</v>
      </c>
    </row>
    <row r="22" customFormat="false" ht="39" hidden="false" customHeight="true" outlineLevel="0" collapsed="false">
      <c r="A22" s="60" t="n">
        <v>21</v>
      </c>
      <c r="B22" s="60" t="s">
        <v>530</v>
      </c>
      <c r="C22" s="60" t="s">
        <v>531</v>
      </c>
      <c r="D22" s="60" t="s">
        <v>532</v>
      </c>
      <c r="E22" s="60" t="s">
        <v>533</v>
      </c>
      <c r="F22" s="60" t="s">
        <v>198</v>
      </c>
      <c r="G22" s="60" t="s">
        <v>534</v>
      </c>
      <c r="H22" s="60" t="s">
        <v>535</v>
      </c>
      <c r="I22" s="60"/>
      <c r="J22" s="60" t="s">
        <v>536</v>
      </c>
      <c r="K22" s="60" t="s">
        <v>181</v>
      </c>
      <c r="L22" s="60" t="s">
        <v>537</v>
      </c>
      <c r="M22" s="60" t="s">
        <v>272</v>
      </c>
      <c r="N22" s="60" t="s">
        <v>184</v>
      </c>
      <c r="O22" s="60"/>
      <c r="P22" s="60" t="s">
        <v>538</v>
      </c>
      <c r="Q22" s="60" t="s">
        <v>187</v>
      </c>
      <c r="R22" s="60" t="s">
        <v>187</v>
      </c>
      <c r="S22" s="60" t="s">
        <v>187</v>
      </c>
      <c r="T22" s="60" t="s">
        <v>539</v>
      </c>
      <c r="U22" s="60" t="s">
        <v>315</v>
      </c>
      <c r="V22" s="60" t="s">
        <v>187</v>
      </c>
      <c r="W22" s="60" t="s">
        <v>187</v>
      </c>
      <c r="X22" s="60" t="s">
        <v>217</v>
      </c>
      <c r="Y22" s="60" t="s">
        <v>540</v>
      </c>
      <c r="Z22" s="60" t="s">
        <v>277</v>
      </c>
      <c r="AA22" s="60" t="s">
        <v>194</v>
      </c>
      <c r="AB22" s="60" t="s">
        <v>541</v>
      </c>
      <c r="AC22" s="60" t="s">
        <v>542</v>
      </c>
      <c r="AD22" s="60" t="s">
        <v>197</v>
      </c>
      <c r="AE22" s="60" t="s">
        <v>198</v>
      </c>
      <c r="AF22" s="60" t="s">
        <v>241</v>
      </c>
      <c r="AG22" s="60" t="s">
        <v>198</v>
      </c>
      <c r="AH22" s="60" t="s">
        <v>543</v>
      </c>
    </row>
    <row r="23" customFormat="false" ht="51.75" hidden="false" customHeight="true" outlineLevel="0" collapsed="false">
      <c r="A23" s="60" t="n">
        <v>22</v>
      </c>
      <c r="B23" s="60" t="s">
        <v>544</v>
      </c>
      <c r="C23" s="60" t="s">
        <v>545</v>
      </c>
      <c r="D23" s="60" t="s">
        <v>546</v>
      </c>
      <c r="E23" s="60" t="s">
        <v>547</v>
      </c>
      <c r="F23" s="60" t="s">
        <v>198</v>
      </c>
      <c r="G23" s="60" t="s">
        <v>474</v>
      </c>
      <c r="H23" s="60" t="s">
        <v>548</v>
      </c>
      <c r="I23" s="60"/>
      <c r="J23" s="60" t="s">
        <v>549</v>
      </c>
      <c r="K23" s="60" t="s">
        <v>181</v>
      </c>
      <c r="L23" s="60" t="s">
        <v>550</v>
      </c>
      <c r="M23" s="60" t="s">
        <v>187</v>
      </c>
      <c r="N23" s="60" t="s">
        <v>184</v>
      </c>
      <c r="O23" s="60"/>
      <c r="P23" s="60" t="s">
        <v>187</v>
      </c>
      <c r="Q23" s="60" t="s">
        <v>187</v>
      </c>
      <c r="R23" s="60" t="s">
        <v>187</v>
      </c>
      <c r="S23" s="60" t="s">
        <v>187</v>
      </c>
      <c r="T23" s="60" t="s">
        <v>184</v>
      </c>
      <c r="U23" s="60" t="s">
        <v>551</v>
      </c>
      <c r="V23" s="60" t="s">
        <v>187</v>
      </c>
      <c r="W23" s="60" t="s">
        <v>187</v>
      </c>
      <c r="X23" s="60" t="s">
        <v>217</v>
      </c>
      <c r="Y23" s="60" t="s">
        <v>552</v>
      </c>
      <c r="Z23" s="60" t="s">
        <v>277</v>
      </c>
      <c r="AA23" s="60" t="s">
        <v>553</v>
      </c>
      <c r="AB23" s="60" t="s">
        <v>554</v>
      </c>
      <c r="AC23" s="60" t="s">
        <v>555</v>
      </c>
      <c r="AD23" s="60" t="s">
        <v>197</v>
      </c>
      <c r="AE23" s="60" t="s">
        <v>198</v>
      </c>
      <c r="AF23" s="60" t="s">
        <v>241</v>
      </c>
      <c r="AG23" s="60" t="s">
        <v>198</v>
      </c>
      <c r="AH23" s="60" t="s">
        <v>118</v>
      </c>
    </row>
    <row r="24" customFormat="false" ht="51.75" hidden="false" customHeight="true" outlineLevel="0" collapsed="false">
      <c r="A24" s="60" t="n">
        <v>23</v>
      </c>
      <c r="B24" s="60" t="s">
        <v>556</v>
      </c>
      <c r="C24" s="60" t="s">
        <v>557</v>
      </c>
      <c r="D24" s="60" t="s">
        <v>558</v>
      </c>
      <c r="E24" s="60" t="s">
        <v>559</v>
      </c>
      <c r="F24" s="60" t="s">
        <v>198</v>
      </c>
      <c r="G24" s="60" t="s">
        <v>519</v>
      </c>
      <c r="H24" s="60" t="s">
        <v>178</v>
      </c>
      <c r="I24" s="60" t="s">
        <v>520</v>
      </c>
      <c r="J24" s="60" t="s">
        <v>560</v>
      </c>
      <c r="K24" s="60" t="s">
        <v>270</v>
      </c>
      <c r="L24" s="60" t="s">
        <v>561</v>
      </c>
      <c r="M24" s="60" t="s">
        <v>522</v>
      </c>
      <c r="N24" s="60" t="s">
        <v>312</v>
      </c>
      <c r="O24" s="60"/>
      <c r="P24" s="60" t="s">
        <v>523</v>
      </c>
      <c r="Q24" s="60" t="s">
        <v>187</v>
      </c>
      <c r="R24" s="60" t="s">
        <v>187</v>
      </c>
      <c r="S24" s="60" t="s">
        <v>187</v>
      </c>
      <c r="T24" s="60" t="s">
        <v>184</v>
      </c>
      <c r="U24" s="60" t="s">
        <v>187</v>
      </c>
      <c r="V24" s="60" t="s">
        <v>187</v>
      </c>
      <c r="W24" s="60" t="s">
        <v>187</v>
      </c>
      <c r="X24" s="60" t="s">
        <v>524</v>
      </c>
      <c r="Y24" s="60" t="s">
        <v>562</v>
      </c>
      <c r="Z24" s="60" t="s">
        <v>277</v>
      </c>
      <c r="AA24" s="60" t="s">
        <v>194</v>
      </c>
      <c r="AB24" s="60" t="s">
        <v>563</v>
      </c>
      <c r="AC24" s="60" t="s">
        <v>564</v>
      </c>
      <c r="AD24" s="60" t="s">
        <v>197</v>
      </c>
      <c r="AE24" s="60" t="s">
        <v>198</v>
      </c>
      <c r="AF24" s="60" t="s">
        <v>199</v>
      </c>
      <c r="AG24" s="60" t="s">
        <v>565</v>
      </c>
      <c r="AH24" s="60" t="s">
        <v>566</v>
      </c>
    </row>
    <row r="25" customFormat="false" ht="77.25" hidden="false" customHeight="true" outlineLevel="0" collapsed="false">
      <c r="A25" s="60" t="n">
        <v>24</v>
      </c>
      <c r="B25" s="60" t="s">
        <v>567</v>
      </c>
      <c r="C25" s="60" t="s">
        <v>568</v>
      </c>
      <c r="D25" s="60" t="s">
        <v>569</v>
      </c>
      <c r="E25" s="60" t="s">
        <v>570</v>
      </c>
      <c r="F25" s="60" t="s">
        <v>198</v>
      </c>
      <c r="G25" s="60" t="s">
        <v>571</v>
      </c>
      <c r="H25" s="60" t="s">
        <v>572</v>
      </c>
      <c r="I25" s="60" t="s">
        <v>573</v>
      </c>
      <c r="J25" s="60" t="s">
        <v>574</v>
      </c>
      <c r="K25" s="60" t="s">
        <v>197</v>
      </c>
      <c r="L25" s="60" t="s">
        <v>575</v>
      </c>
      <c r="M25" s="60" t="s">
        <v>576</v>
      </c>
      <c r="N25" s="60" t="s">
        <v>184</v>
      </c>
      <c r="O25" s="60" t="s">
        <v>577</v>
      </c>
      <c r="P25" s="60" t="s">
        <v>187</v>
      </c>
      <c r="Q25" s="60" t="s">
        <v>187</v>
      </c>
      <c r="R25" s="60" t="s">
        <v>187</v>
      </c>
      <c r="S25" s="60" t="s">
        <v>187</v>
      </c>
      <c r="T25" s="60" t="s">
        <v>184</v>
      </c>
      <c r="U25" s="60" t="s">
        <v>578</v>
      </c>
      <c r="V25" s="60" t="s">
        <v>187</v>
      </c>
      <c r="W25" s="60" t="s">
        <v>187</v>
      </c>
      <c r="X25" s="60" t="s">
        <v>217</v>
      </c>
      <c r="Y25" s="60" t="s">
        <v>579</v>
      </c>
      <c r="Z25" s="60" t="s">
        <v>193</v>
      </c>
      <c r="AA25" s="60" t="s">
        <v>219</v>
      </c>
      <c r="AB25" s="60" t="s">
        <v>580</v>
      </c>
      <c r="AC25" s="60" t="s">
        <v>581</v>
      </c>
      <c r="AD25" s="60" t="s">
        <v>197</v>
      </c>
      <c r="AE25" s="60" t="s">
        <v>198</v>
      </c>
      <c r="AF25" s="60" t="s">
        <v>241</v>
      </c>
      <c r="AG25" s="60" t="s">
        <v>198</v>
      </c>
      <c r="AH25" s="60" t="s">
        <v>582</v>
      </c>
    </row>
    <row r="26" customFormat="false" ht="39" hidden="false" customHeight="true" outlineLevel="0" collapsed="false">
      <c r="A26" s="60" t="n">
        <v>25</v>
      </c>
      <c r="B26" s="60" t="s">
        <v>583</v>
      </c>
      <c r="C26" s="60" t="s">
        <v>584</v>
      </c>
      <c r="D26" s="60" t="s">
        <v>585</v>
      </c>
      <c r="E26" s="60" t="s">
        <v>586</v>
      </c>
      <c r="F26" s="60" t="s">
        <v>198</v>
      </c>
      <c r="G26" s="60" t="s">
        <v>587</v>
      </c>
      <c r="H26" s="60" t="s">
        <v>520</v>
      </c>
      <c r="I26" s="60" t="s">
        <v>588</v>
      </c>
      <c r="J26" s="60" t="s">
        <v>589</v>
      </c>
      <c r="K26" s="60" t="s">
        <v>181</v>
      </c>
      <c r="L26" s="60" t="s">
        <v>590</v>
      </c>
      <c r="M26" s="60" t="s">
        <v>591</v>
      </c>
      <c r="N26" s="60" t="s">
        <v>592</v>
      </c>
      <c r="O26" s="60"/>
      <c r="P26" s="60" t="s">
        <v>187</v>
      </c>
      <c r="Q26" s="60" t="s">
        <v>187</v>
      </c>
      <c r="R26" s="60" t="s">
        <v>187</v>
      </c>
      <c r="S26" s="60" t="s">
        <v>593</v>
      </c>
      <c r="T26" s="60" t="s">
        <v>314</v>
      </c>
      <c r="U26" s="60" t="s">
        <v>594</v>
      </c>
      <c r="V26" s="60" t="s">
        <v>187</v>
      </c>
      <c r="W26" s="60" t="s">
        <v>187</v>
      </c>
      <c r="X26" s="60" t="s">
        <v>217</v>
      </c>
      <c r="Y26" s="60" t="s">
        <v>595</v>
      </c>
      <c r="Z26" s="60" t="s">
        <v>318</v>
      </c>
      <c r="AA26" s="60" t="s">
        <v>194</v>
      </c>
      <c r="AB26" s="60" t="s">
        <v>596</v>
      </c>
      <c r="AC26" s="60" t="s">
        <v>597</v>
      </c>
      <c r="AD26" s="60" t="s">
        <v>280</v>
      </c>
      <c r="AE26" s="60" t="s">
        <v>198</v>
      </c>
      <c r="AF26" s="60" t="s">
        <v>199</v>
      </c>
      <c r="AG26" s="60" t="s">
        <v>598</v>
      </c>
      <c r="AH26" s="60" t="s">
        <v>599</v>
      </c>
    </row>
    <row r="27" customFormat="false" ht="51.75" hidden="false" customHeight="true" outlineLevel="0" collapsed="false">
      <c r="A27" s="60" t="n">
        <v>26</v>
      </c>
      <c r="B27" s="60" t="s">
        <v>600</v>
      </c>
      <c r="C27" s="60" t="s">
        <v>601</v>
      </c>
      <c r="D27" s="60" t="s">
        <v>602</v>
      </c>
      <c r="E27" s="60" t="s">
        <v>603</v>
      </c>
      <c r="F27" s="60" t="s">
        <v>198</v>
      </c>
      <c r="G27" s="60" t="s">
        <v>505</v>
      </c>
      <c r="H27" s="60" t="s">
        <v>360</v>
      </c>
      <c r="I27" s="60"/>
      <c r="J27" s="60" t="s">
        <v>604</v>
      </c>
      <c r="K27" s="60" t="s">
        <v>181</v>
      </c>
      <c r="L27" s="60" t="s">
        <v>605</v>
      </c>
      <c r="M27" s="60" t="s">
        <v>508</v>
      </c>
      <c r="N27" s="60" t="s">
        <v>606</v>
      </c>
      <c r="O27" s="60"/>
      <c r="P27" s="60" t="s">
        <v>187</v>
      </c>
      <c r="Q27" s="60" t="s">
        <v>187</v>
      </c>
      <c r="R27" s="60" t="s">
        <v>187</v>
      </c>
      <c r="S27" s="60" t="s">
        <v>187</v>
      </c>
      <c r="T27" s="60" t="s">
        <v>184</v>
      </c>
      <c r="U27" s="60" t="s">
        <v>187</v>
      </c>
      <c r="V27" s="60" t="s">
        <v>187</v>
      </c>
      <c r="W27" s="60" t="s">
        <v>294</v>
      </c>
      <c r="X27" s="60" t="s">
        <v>217</v>
      </c>
      <c r="Y27" s="60" t="s">
        <v>607</v>
      </c>
      <c r="Z27" s="60" t="s">
        <v>277</v>
      </c>
      <c r="AA27" s="60" t="s">
        <v>369</v>
      </c>
      <c r="AB27" s="60" t="s">
        <v>608</v>
      </c>
      <c r="AC27" s="60" t="s">
        <v>609</v>
      </c>
      <c r="AD27" s="60" t="s">
        <v>197</v>
      </c>
      <c r="AE27" s="60" t="s">
        <v>198</v>
      </c>
      <c r="AF27" s="60" t="s">
        <v>199</v>
      </c>
      <c r="AG27" s="60" t="s">
        <v>610</v>
      </c>
      <c r="AH27" s="60" t="s">
        <v>611</v>
      </c>
    </row>
    <row r="28" customFormat="false" ht="39" hidden="false" customHeight="true" outlineLevel="0" collapsed="false">
      <c r="A28" s="60" t="n">
        <v>27</v>
      </c>
      <c r="B28" s="60" t="s">
        <v>612</v>
      </c>
      <c r="C28" s="60" t="s">
        <v>613</v>
      </c>
      <c r="D28" s="60" t="s">
        <v>614</v>
      </c>
      <c r="E28" s="60" t="s">
        <v>615</v>
      </c>
      <c r="F28" s="60" t="s">
        <v>198</v>
      </c>
      <c r="G28" s="60" t="s">
        <v>616</v>
      </c>
      <c r="H28" s="60" t="s">
        <v>617</v>
      </c>
      <c r="I28" s="60"/>
      <c r="J28" s="60" t="s">
        <v>618</v>
      </c>
      <c r="K28" s="60" t="s">
        <v>181</v>
      </c>
      <c r="L28" s="60" t="s">
        <v>619</v>
      </c>
      <c r="M28" s="60" t="s">
        <v>187</v>
      </c>
      <c r="N28" s="60" t="s">
        <v>184</v>
      </c>
      <c r="O28" s="60"/>
      <c r="P28" s="60" t="s">
        <v>187</v>
      </c>
      <c r="Q28" s="60" t="s">
        <v>187</v>
      </c>
      <c r="R28" s="60" t="s">
        <v>187</v>
      </c>
      <c r="S28" s="60" t="s">
        <v>187</v>
      </c>
      <c r="T28" s="60" t="s">
        <v>184</v>
      </c>
      <c r="U28" s="60" t="s">
        <v>187</v>
      </c>
      <c r="V28" s="60" t="s">
        <v>187</v>
      </c>
      <c r="W28" s="60" t="s">
        <v>187</v>
      </c>
      <c r="X28" s="60" t="s">
        <v>217</v>
      </c>
      <c r="Y28" s="60" t="s">
        <v>620</v>
      </c>
      <c r="Z28" s="60" t="s">
        <v>277</v>
      </c>
      <c r="AA28" s="60" t="s">
        <v>219</v>
      </c>
      <c r="AB28" s="60" t="s">
        <v>621</v>
      </c>
      <c r="AC28" s="60" t="s">
        <v>622</v>
      </c>
      <c r="AD28" s="60" t="s">
        <v>197</v>
      </c>
      <c r="AE28" s="60" t="s">
        <v>198</v>
      </c>
      <c r="AF28" s="60" t="s">
        <v>241</v>
      </c>
      <c r="AG28" s="60" t="s">
        <v>198</v>
      </c>
      <c r="AH28" s="60" t="s">
        <v>623</v>
      </c>
    </row>
    <row r="29" customFormat="false" ht="51.75" hidden="false" customHeight="true" outlineLevel="0" collapsed="false">
      <c r="A29" s="60" t="n">
        <v>28</v>
      </c>
      <c r="B29" s="60" t="s">
        <v>624</v>
      </c>
      <c r="C29" s="60" t="s">
        <v>625</v>
      </c>
      <c r="D29" s="60" t="s">
        <v>626</v>
      </c>
      <c r="E29" s="60" t="s">
        <v>627</v>
      </c>
      <c r="F29" s="60" t="s">
        <v>198</v>
      </c>
      <c r="G29" s="60" t="s">
        <v>628</v>
      </c>
      <c r="H29" s="60" t="s">
        <v>629</v>
      </c>
      <c r="I29" s="60"/>
      <c r="J29" s="60" t="s">
        <v>630</v>
      </c>
      <c r="K29" s="60" t="s">
        <v>181</v>
      </c>
      <c r="L29" s="60" t="s">
        <v>631</v>
      </c>
      <c r="M29" s="60" t="s">
        <v>187</v>
      </c>
      <c r="N29" s="60" t="s">
        <v>184</v>
      </c>
      <c r="O29" s="60"/>
      <c r="P29" s="60" t="s">
        <v>632</v>
      </c>
      <c r="Q29" s="60" t="s">
        <v>187</v>
      </c>
      <c r="R29" s="60" t="s">
        <v>187</v>
      </c>
      <c r="S29" s="60" t="s">
        <v>187</v>
      </c>
      <c r="T29" s="60" t="s">
        <v>237</v>
      </c>
      <c r="U29" s="60" t="s">
        <v>187</v>
      </c>
      <c r="V29" s="60" t="s">
        <v>187</v>
      </c>
      <c r="W29" s="60" t="s">
        <v>187</v>
      </c>
      <c r="X29" s="60" t="s">
        <v>217</v>
      </c>
      <c r="Y29" s="60" t="s">
        <v>633</v>
      </c>
      <c r="Z29" s="60" t="s">
        <v>193</v>
      </c>
      <c r="AA29" s="60" t="s">
        <v>194</v>
      </c>
      <c r="AB29" s="60" t="s">
        <v>634</v>
      </c>
      <c r="AC29" s="60" t="s">
        <v>635</v>
      </c>
      <c r="AD29" s="60" t="s">
        <v>197</v>
      </c>
      <c r="AE29" s="60" t="s">
        <v>198</v>
      </c>
      <c r="AF29" s="60" t="s">
        <v>241</v>
      </c>
      <c r="AG29" s="60" t="s">
        <v>198</v>
      </c>
      <c r="AH29" s="60" t="s">
        <v>636</v>
      </c>
    </row>
    <row r="30" customFormat="false" ht="39" hidden="false" customHeight="true" outlineLevel="0" collapsed="false">
      <c r="A30" s="60" t="n">
        <v>29</v>
      </c>
      <c r="B30" s="60" t="s">
        <v>637</v>
      </c>
      <c r="C30" s="60" t="s">
        <v>638</v>
      </c>
      <c r="D30" s="60" t="s">
        <v>639</v>
      </c>
      <c r="E30" s="60" t="s">
        <v>640</v>
      </c>
      <c r="F30" s="60" t="s">
        <v>198</v>
      </c>
      <c r="G30" s="60" t="s">
        <v>641</v>
      </c>
      <c r="H30" s="60" t="s">
        <v>642</v>
      </c>
      <c r="I30" s="60"/>
      <c r="J30" s="60" t="s">
        <v>643</v>
      </c>
      <c r="K30" s="60" t="s">
        <v>181</v>
      </c>
      <c r="L30" s="60" t="s">
        <v>644</v>
      </c>
      <c r="M30" s="60" t="s">
        <v>645</v>
      </c>
      <c r="N30" s="60" t="s">
        <v>646</v>
      </c>
      <c r="O30" s="60"/>
      <c r="P30" s="60" t="s">
        <v>187</v>
      </c>
      <c r="Q30" s="60" t="s">
        <v>187</v>
      </c>
      <c r="R30" s="60" t="s">
        <v>187</v>
      </c>
      <c r="S30" s="60" t="s">
        <v>187</v>
      </c>
      <c r="T30" s="60" t="s">
        <v>184</v>
      </c>
      <c r="U30" s="60" t="s">
        <v>187</v>
      </c>
      <c r="V30" s="60" t="s">
        <v>187</v>
      </c>
      <c r="W30" s="60" t="s">
        <v>294</v>
      </c>
      <c r="X30" s="60" t="s">
        <v>217</v>
      </c>
      <c r="Y30" s="60" t="s">
        <v>647</v>
      </c>
      <c r="Z30" s="60" t="s">
        <v>318</v>
      </c>
      <c r="AA30" s="60" t="s">
        <v>350</v>
      </c>
      <c r="AB30" s="60" t="s">
        <v>648</v>
      </c>
      <c r="AC30" s="60" t="s">
        <v>649</v>
      </c>
      <c r="AD30" s="60" t="s">
        <v>197</v>
      </c>
      <c r="AE30" s="60" t="s">
        <v>198</v>
      </c>
      <c r="AF30" s="60" t="s">
        <v>241</v>
      </c>
      <c r="AG30" s="60" t="s">
        <v>198</v>
      </c>
      <c r="AH30" s="60" t="s">
        <v>650</v>
      </c>
    </row>
    <row r="31" customFormat="false" ht="64.5" hidden="false" customHeight="true" outlineLevel="0" collapsed="false">
      <c r="A31" s="60" t="n">
        <v>30</v>
      </c>
      <c r="B31" s="60" t="s">
        <v>651</v>
      </c>
      <c r="C31" s="60" t="s">
        <v>652</v>
      </c>
      <c r="D31" s="60" t="s">
        <v>653</v>
      </c>
      <c r="E31" s="60" t="s">
        <v>654</v>
      </c>
      <c r="F31" s="60" t="s">
        <v>198</v>
      </c>
      <c r="G31" s="60" t="s">
        <v>655</v>
      </c>
      <c r="H31" s="60" t="s">
        <v>656</v>
      </c>
      <c r="I31" s="60"/>
      <c r="J31" s="60" t="s">
        <v>657</v>
      </c>
      <c r="K31" s="60" t="s">
        <v>181</v>
      </c>
      <c r="L31" s="60" t="s">
        <v>658</v>
      </c>
      <c r="M31" s="60" t="s">
        <v>659</v>
      </c>
      <c r="N31" s="60" t="s">
        <v>184</v>
      </c>
      <c r="O31" s="60"/>
      <c r="P31" s="60" t="s">
        <v>660</v>
      </c>
      <c r="Q31" s="60" t="s">
        <v>187</v>
      </c>
      <c r="R31" s="60" t="s">
        <v>187</v>
      </c>
      <c r="S31" s="60" t="s">
        <v>187</v>
      </c>
      <c r="T31" s="60" t="s">
        <v>237</v>
      </c>
      <c r="U31" s="60" t="s">
        <v>187</v>
      </c>
      <c r="V31" s="60" t="s">
        <v>187</v>
      </c>
      <c r="W31" s="60" t="s">
        <v>187</v>
      </c>
      <c r="X31" s="60" t="s">
        <v>217</v>
      </c>
      <c r="Y31" s="60" t="s">
        <v>661</v>
      </c>
      <c r="Z31" s="60" t="s">
        <v>193</v>
      </c>
      <c r="AA31" s="60" t="s">
        <v>219</v>
      </c>
      <c r="AB31" s="60" t="s">
        <v>662</v>
      </c>
      <c r="AC31" s="60" t="s">
        <v>663</v>
      </c>
      <c r="AD31" s="60" t="s">
        <v>197</v>
      </c>
      <c r="AE31" s="60" t="s">
        <v>198</v>
      </c>
      <c r="AF31" s="60" t="s">
        <v>241</v>
      </c>
      <c r="AG31" s="60" t="s">
        <v>198</v>
      </c>
      <c r="AH31" s="60" t="s">
        <v>664</v>
      </c>
    </row>
    <row r="32" customFormat="false" ht="51.75" hidden="false" customHeight="true" outlineLevel="0" collapsed="false">
      <c r="A32" s="60" t="n">
        <v>31</v>
      </c>
      <c r="B32" s="60" t="s">
        <v>665</v>
      </c>
      <c r="C32" s="60" t="s">
        <v>666</v>
      </c>
      <c r="D32" s="60" t="s">
        <v>667</v>
      </c>
      <c r="E32" s="60" t="s">
        <v>668</v>
      </c>
      <c r="F32" s="60" t="s">
        <v>198</v>
      </c>
      <c r="G32" s="60" t="s">
        <v>669</v>
      </c>
      <c r="H32" s="60" t="s">
        <v>670</v>
      </c>
      <c r="I32" s="60"/>
      <c r="J32" s="60" t="s">
        <v>671</v>
      </c>
      <c r="K32" s="60" t="s">
        <v>181</v>
      </c>
      <c r="L32" s="60" t="s">
        <v>448</v>
      </c>
      <c r="M32" s="60" t="s">
        <v>187</v>
      </c>
      <c r="N32" s="60" t="s">
        <v>184</v>
      </c>
      <c r="O32" s="60"/>
      <c r="P32" s="60" t="s">
        <v>672</v>
      </c>
      <c r="Q32" s="60" t="s">
        <v>187</v>
      </c>
      <c r="R32" s="60" t="s">
        <v>187</v>
      </c>
      <c r="S32" s="60" t="s">
        <v>187</v>
      </c>
      <c r="T32" s="60" t="s">
        <v>237</v>
      </c>
      <c r="U32" s="60" t="s">
        <v>187</v>
      </c>
      <c r="V32" s="60" t="s">
        <v>187</v>
      </c>
      <c r="W32" s="60" t="s">
        <v>187</v>
      </c>
      <c r="X32" s="60" t="s">
        <v>217</v>
      </c>
      <c r="Y32" s="60" t="s">
        <v>673</v>
      </c>
      <c r="Z32" s="60" t="s">
        <v>193</v>
      </c>
      <c r="AA32" s="60" t="s">
        <v>219</v>
      </c>
      <c r="AB32" s="60" t="s">
        <v>674</v>
      </c>
      <c r="AC32" s="60" t="s">
        <v>675</v>
      </c>
      <c r="AD32" s="60" t="s">
        <v>197</v>
      </c>
      <c r="AE32" s="60" t="s">
        <v>198</v>
      </c>
      <c r="AF32" s="60" t="s">
        <v>241</v>
      </c>
      <c r="AG32" s="60" t="s">
        <v>198</v>
      </c>
      <c r="AH32" s="60" t="s">
        <v>676</v>
      </c>
    </row>
    <row r="33" customFormat="false" ht="39" hidden="false" customHeight="true" outlineLevel="0" collapsed="false">
      <c r="A33" s="60" t="n">
        <v>32</v>
      </c>
      <c r="B33" s="60" t="s">
        <v>677</v>
      </c>
      <c r="C33" s="60" t="s">
        <v>678</v>
      </c>
      <c r="D33" s="60" t="s">
        <v>679</v>
      </c>
      <c r="E33" s="60" t="s">
        <v>680</v>
      </c>
      <c r="F33" s="60" t="s">
        <v>681</v>
      </c>
      <c r="G33" s="60" t="s">
        <v>655</v>
      </c>
      <c r="H33" s="60" t="s">
        <v>682</v>
      </c>
      <c r="I33" s="60"/>
      <c r="J33" s="60" t="s">
        <v>683</v>
      </c>
      <c r="K33" s="60" t="s">
        <v>181</v>
      </c>
      <c r="L33" s="60" t="s">
        <v>684</v>
      </c>
      <c r="M33" s="60" t="s">
        <v>187</v>
      </c>
      <c r="N33" s="60" t="s">
        <v>184</v>
      </c>
      <c r="O33" s="60"/>
      <c r="P33" s="60" t="s">
        <v>187</v>
      </c>
      <c r="Q33" s="60" t="s">
        <v>187</v>
      </c>
      <c r="R33" s="60" t="s">
        <v>187</v>
      </c>
      <c r="S33" s="60" t="s">
        <v>685</v>
      </c>
      <c r="T33" s="60" t="s">
        <v>686</v>
      </c>
      <c r="U33" s="60" t="s">
        <v>216</v>
      </c>
      <c r="V33" s="60" t="s">
        <v>187</v>
      </c>
      <c r="W33" s="60" t="s">
        <v>187</v>
      </c>
      <c r="X33" s="60" t="s">
        <v>217</v>
      </c>
      <c r="Y33" s="60" t="s">
        <v>687</v>
      </c>
      <c r="Z33" s="60" t="s">
        <v>277</v>
      </c>
      <c r="AA33" s="60" t="s">
        <v>219</v>
      </c>
      <c r="AB33" s="60" t="s">
        <v>688</v>
      </c>
      <c r="AC33" s="60" t="s">
        <v>689</v>
      </c>
      <c r="AD33" s="60" t="s">
        <v>197</v>
      </c>
      <c r="AE33" s="60" t="s">
        <v>198</v>
      </c>
      <c r="AF33" s="60" t="s">
        <v>199</v>
      </c>
      <c r="AG33" s="60" t="s">
        <v>690</v>
      </c>
      <c r="AH33" s="60" t="s">
        <v>691</v>
      </c>
    </row>
    <row r="34" customFormat="false" ht="64.5" hidden="false" customHeight="true" outlineLevel="0" collapsed="false">
      <c r="A34" s="60" t="n">
        <v>33</v>
      </c>
      <c r="B34" s="60" t="s">
        <v>692</v>
      </c>
      <c r="C34" s="60" t="s">
        <v>693</v>
      </c>
      <c r="D34" s="60" t="s">
        <v>694</v>
      </c>
      <c r="E34" s="60" t="s">
        <v>695</v>
      </c>
      <c r="F34" s="60" t="s">
        <v>198</v>
      </c>
      <c r="G34" s="60" t="s">
        <v>267</v>
      </c>
      <c r="H34" s="60" t="s">
        <v>360</v>
      </c>
      <c r="I34" s="60"/>
      <c r="J34" s="60" t="s">
        <v>696</v>
      </c>
      <c r="K34" s="60" t="s">
        <v>181</v>
      </c>
      <c r="L34" s="60" t="s">
        <v>411</v>
      </c>
      <c r="M34" s="60" t="s">
        <v>697</v>
      </c>
      <c r="N34" s="60" t="s">
        <v>592</v>
      </c>
      <c r="O34" s="60"/>
      <c r="P34" s="60" t="s">
        <v>187</v>
      </c>
      <c r="Q34" s="60" t="s">
        <v>187</v>
      </c>
      <c r="R34" s="60" t="s">
        <v>187</v>
      </c>
      <c r="S34" s="60" t="s">
        <v>187</v>
      </c>
      <c r="T34" s="60" t="s">
        <v>184</v>
      </c>
      <c r="U34" s="60" t="s">
        <v>187</v>
      </c>
      <c r="V34" s="60" t="s">
        <v>187</v>
      </c>
      <c r="W34" s="60" t="s">
        <v>187</v>
      </c>
      <c r="X34" s="60" t="s">
        <v>698</v>
      </c>
      <c r="Y34" s="60" t="s">
        <v>699</v>
      </c>
      <c r="Z34" s="60" t="s">
        <v>277</v>
      </c>
      <c r="AA34" s="60" t="s">
        <v>194</v>
      </c>
      <c r="AB34" s="60" t="s">
        <v>700</v>
      </c>
      <c r="AC34" s="60" t="s">
        <v>701</v>
      </c>
      <c r="AD34" s="60" t="s">
        <v>270</v>
      </c>
      <c r="AE34" s="60" t="s">
        <v>198</v>
      </c>
      <c r="AF34" s="60" t="s">
        <v>199</v>
      </c>
      <c r="AG34" s="60" t="s">
        <v>702</v>
      </c>
      <c r="AH34" s="60" t="s">
        <v>703</v>
      </c>
    </row>
    <row r="35" customFormat="false" ht="51.75" hidden="false" customHeight="true" outlineLevel="0" collapsed="false">
      <c r="A35" s="60" t="n">
        <v>34</v>
      </c>
      <c r="B35" s="60" t="s">
        <v>704</v>
      </c>
      <c r="C35" s="60" t="s">
        <v>705</v>
      </c>
      <c r="D35" s="60" t="s">
        <v>706</v>
      </c>
      <c r="E35" s="60" t="s">
        <v>707</v>
      </c>
      <c r="F35" s="60" t="s">
        <v>198</v>
      </c>
      <c r="G35" s="60" t="s">
        <v>708</v>
      </c>
      <c r="H35" s="60" t="s">
        <v>709</v>
      </c>
      <c r="I35" s="60"/>
      <c r="J35" s="60" t="s">
        <v>496</v>
      </c>
      <c r="K35" s="60" t="s">
        <v>181</v>
      </c>
      <c r="L35" s="60" t="s">
        <v>710</v>
      </c>
      <c r="M35" s="60" t="s">
        <v>187</v>
      </c>
      <c r="N35" s="60" t="s">
        <v>184</v>
      </c>
      <c r="O35" s="60"/>
      <c r="P35" s="60" t="s">
        <v>187</v>
      </c>
      <c r="Q35" s="60" t="s">
        <v>187</v>
      </c>
      <c r="R35" s="60" t="s">
        <v>187</v>
      </c>
      <c r="S35" s="60" t="s">
        <v>187</v>
      </c>
      <c r="T35" s="60" t="s">
        <v>184</v>
      </c>
      <c r="U35" s="60" t="s">
        <v>711</v>
      </c>
      <c r="V35" s="60" t="s">
        <v>187</v>
      </c>
      <c r="W35" s="60" t="s">
        <v>187</v>
      </c>
      <c r="X35" s="60" t="s">
        <v>712</v>
      </c>
      <c r="Y35" s="60" t="s">
        <v>713</v>
      </c>
      <c r="Z35" s="60" t="s">
        <v>277</v>
      </c>
      <c r="AA35" s="60" t="s">
        <v>194</v>
      </c>
      <c r="AB35" s="60" t="s">
        <v>714</v>
      </c>
      <c r="AC35" s="60" t="s">
        <v>715</v>
      </c>
      <c r="AD35" s="60" t="s">
        <v>270</v>
      </c>
      <c r="AE35" s="60" t="s">
        <v>716</v>
      </c>
      <c r="AF35" s="60" t="s">
        <v>199</v>
      </c>
      <c r="AG35" s="60" t="s">
        <v>717</v>
      </c>
      <c r="AH35" s="60" t="s">
        <v>718</v>
      </c>
    </row>
    <row r="36" customFormat="false" ht="51.75" hidden="false" customHeight="true" outlineLevel="0" collapsed="false">
      <c r="A36" s="60" t="n">
        <v>35</v>
      </c>
      <c r="B36" s="60" t="s">
        <v>719</v>
      </c>
      <c r="C36" s="60" t="s">
        <v>720</v>
      </c>
      <c r="D36" s="60" t="s">
        <v>721</v>
      </c>
      <c r="E36" s="60" t="s">
        <v>722</v>
      </c>
      <c r="F36" s="60" t="s">
        <v>198</v>
      </c>
      <c r="G36" s="60" t="s">
        <v>655</v>
      </c>
      <c r="H36" s="60" t="s">
        <v>723</v>
      </c>
      <c r="I36" s="60"/>
      <c r="J36" s="60" t="s">
        <v>724</v>
      </c>
      <c r="K36" s="60" t="s">
        <v>181</v>
      </c>
      <c r="L36" s="60" t="s">
        <v>725</v>
      </c>
      <c r="M36" s="60" t="s">
        <v>645</v>
      </c>
      <c r="N36" s="60" t="s">
        <v>646</v>
      </c>
      <c r="O36" s="60" t="s">
        <v>726</v>
      </c>
      <c r="P36" s="60" t="s">
        <v>727</v>
      </c>
      <c r="Q36" s="60" t="s">
        <v>187</v>
      </c>
      <c r="R36" s="60" t="s">
        <v>187</v>
      </c>
      <c r="S36" s="60" t="s">
        <v>728</v>
      </c>
      <c r="T36" s="60" t="s">
        <v>188</v>
      </c>
      <c r="U36" s="60" t="s">
        <v>187</v>
      </c>
      <c r="V36" s="60" t="s">
        <v>187</v>
      </c>
      <c r="W36" s="60" t="s">
        <v>187</v>
      </c>
      <c r="X36" s="60" t="s">
        <v>217</v>
      </c>
      <c r="Y36" s="60" t="s">
        <v>729</v>
      </c>
      <c r="Z36" s="60" t="s">
        <v>277</v>
      </c>
      <c r="AA36" s="60" t="s">
        <v>219</v>
      </c>
      <c r="AB36" s="60" t="s">
        <v>730</v>
      </c>
      <c r="AC36" s="60" t="s">
        <v>731</v>
      </c>
      <c r="AD36" s="60" t="s">
        <v>197</v>
      </c>
      <c r="AE36" s="60" t="s">
        <v>198</v>
      </c>
      <c r="AF36" s="60" t="s">
        <v>241</v>
      </c>
      <c r="AG36" s="60" t="s">
        <v>198</v>
      </c>
      <c r="AH36" s="60" t="s">
        <v>732</v>
      </c>
    </row>
    <row r="37" customFormat="false" ht="64.5" hidden="false" customHeight="true" outlineLevel="0" collapsed="false">
      <c r="A37" s="60" t="n">
        <v>36</v>
      </c>
      <c r="B37" s="60" t="s">
        <v>733</v>
      </c>
      <c r="C37" s="60" t="s">
        <v>734</v>
      </c>
      <c r="D37" s="60" t="s">
        <v>735</v>
      </c>
      <c r="E37" s="60" t="s">
        <v>736</v>
      </c>
      <c r="F37" s="60" t="s">
        <v>198</v>
      </c>
      <c r="G37" s="60" t="s">
        <v>737</v>
      </c>
      <c r="H37" s="60" t="s">
        <v>738</v>
      </c>
      <c r="I37" s="60" t="s">
        <v>739</v>
      </c>
      <c r="J37" s="60" t="s">
        <v>740</v>
      </c>
      <c r="K37" s="60" t="s">
        <v>181</v>
      </c>
      <c r="L37" s="60" t="s">
        <v>507</v>
      </c>
      <c r="M37" s="60" t="s">
        <v>741</v>
      </c>
      <c r="N37" s="60" t="s">
        <v>742</v>
      </c>
      <c r="O37" s="60"/>
      <c r="P37" s="60" t="s">
        <v>743</v>
      </c>
      <c r="Q37" s="60" t="s">
        <v>187</v>
      </c>
      <c r="R37" s="60" t="s">
        <v>187</v>
      </c>
      <c r="S37" s="60" t="s">
        <v>187</v>
      </c>
      <c r="T37" s="60" t="s">
        <v>539</v>
      </c>
      <c r="U37" s="60" t="s">
        <v>315</v>
      </c>
      <c r="V37" s="60" t="s">
        <v>187</v>
      </c>
      <c r="W37" s="60" t="s">
        <v>187</v>
      </c>
      <c r="X37" s="60" t="s">
        <v>217</v>
      </c>
      <c r="Y37" s="60" t="s">
        <v>744</v>
      </c>
      <c r="Z37" s="60" t="s">
        <v>318</v>
      </c>
      <c r="AA37" s="60" t="s">
        <v>350</v>
      </c>
      <c r="AB37" s="60" t="s">
        <v>745</v>
      </c>
      <c r="AC37" s="60" t="s">
        <v>746</v>
      </c>
      <c r="AD37" s="60" t="s">
        <v>197</v>
      </c>
      <c r="AE37" s="60" t="s">
        <v>198</v>
      </c>
      <c r="AF37" s="60" t="s">
        <v>241</v>
      </c>
      <c r="AG37" s="60" t="s">
        <v>198</v>
      </c>
      <c r="AH37" s="60" t="s">
        <v>747</v>
      </c>
    </row>
    <row r="38" customFormat="false" ht="39" hidden="false" customHeight="true" outlineLevel="0" collapsed="false">
      <c r="A38" s="60" t="n">
        <v>37</v>
      </c>
      <c r="B38" s="60" t="s">
        <v>748</v>
      </c>
      <c r="C38" s="60" t="s">
        <v>749</v>
      </c>
      <c r="D38" s="60" t="s">
        <v>750</v>
      </c>
      <c r="E38" s="60" t="s">
        <v>751</v>
      </c>
      <c r="F38" s="60" t="s">
        <v>198</v>
      </c>
      <c r="G38" s="60" t="s">
        <v>287</v>
      </c>
      <c r="H38" s="60" t="s">
        <v>752</v>
      </c>
      <c r="I38" s="60"/>
      <c r="J38" s="60" t="s">
        <v>753</v>
      </c>
      <c r="K38" s="60" t="s">
        <v>181</v>
      </c>
      <c r="L38" s="60" t="s">
        <v>754</v>
      </c>
      <c r="M38" s="60" t="s">
        <v>187</v>
      </c>
      <c r="N38" s="60" t="s">
        <v>184</v>
      </c>
      <c r="O38" s="60"/>
      <c r="P38" s="60" t="s">
        <v>187</v>
      </c>
      <c r="Q38" s="60" t="s">
        <v>755</v>
      </c>
      <c r="R38" s="60" t="s">
        <v>187</v>
      </c>
      <c r="S38" s="60" t="s">
        <v>187</v>
      </c>
      <c r="T38" s="60" t="s">
        <v>237</v>
      </c>
      <c r="U38" s="60" t="s">
        <v>187</v>
      </c>
      <c r="V38" s="60" t="s">
        <v>187</v>
      </c>
      <c r="W38" s="60" t="s">
        <v>187</v>
      </c>
      <c r="X38" s="60" t="s">
        <v>756</v>
      </c>
      <c r="Y38" s="60" t="s">
        <v>757</v>
      </c>
      <c r="Z38" s="60" t="s">
        <v>193</v>
      </c>
      <c r="AA38" s="60" t="s">
        <v>219</v>
      </c>
      <c r="AB38" s="60" t="s">
        <v>758</v>
      </c>
      <c r="AC38" s="60" t="s">
        <v>759</v>
      </c>
      <c r="AD38" s="60" t="s">
        <v>197</v>
      </c>
      <c r="AE38" s="60" t="s">
        <v>198</v>
      </c>
      <c r="AF38" s="60" t="s">
        <v>241</v>
      </c>
      <c r="AG38" s="60" t="s">
        <v>198</v>
      </c>
      <c r="AH38" s="60" t="s">
        <v>760</v>
      </c>
    </row>
    <row r="39" customFormat="false" ht="39" hidden="false" customHeight="true" outlineLevel="0" collapsed="false">
      <c r="A39" s="60" t="n">
        <v>38</v>
      </c>
      <c r="B39" s="60" t="s">
        <v>761</v>
      </c>
      <c r="C39" s="60" t="s">
        <v>762</v>
      </c>
      <c r="D39" s="60" t="s">
        <v>763</v>
      </c>
      <c r="E39" s="60" t="s">
        <v>764</v>
      </c>
      <c r="F39" s="60" t="s">
        <v>198</v>
      </c>
      <c r="G39" s="60" t="s">
        <v>765</v>
      </c>
      <c r="H39" s="60" t="s">
        <v>360</v>
      </c>
      <c r="I39" s="60"/>
      <c r="J39" s="60" t="s">
        <v>766</v>
      </c>
      <c r="K39" s="60" t="s">
        <v>197</v>
      </c>
      <c r="L39" s="60" t="s">
        <v>363</v>
      </c>
      <c r="M39" s="60" t="s">
        <v>364</v>
      </c>
      <c r="N39" s="60" t="s">
        <v>365</v>
      </c>
      <c r="O39" s="60"/>
      <c r="P39" s="60" t="s">
        <v>187</v>
      </c>
      <c r="Q39" s="60" t="s">
        <v>187</v>
      </c>
      <c r="R39" s="60" t="s">
        <v>187</v>
      </c>
      <c r="S39" s="60" t="s">
        <v>187</v>
      </c>
      <c r="T39" s="60" t="s">
        <v>184</v>
      </c>
      <c r="U39" s="60" t="s">
        <v>187</v>
      </c>
      <c r="V39" s="60" t="s">
        <v>187</v>
      </c>
      <c r="W39" s="60" t="s">
        <v>187</v>
      </c>
      <c r="X39" s="60" t="s">
        <v>217</v>
      </c>
      <c r="Y39" s="60" t="s">
        <v>317</v>
      </c>
      <c r="Z39" s="60" t="s">
        <v>193</v>
      </c>
      <c r="AA39" s="60" t="s">
        <v>257</v>
      </c>
      <c r="AB39" s="60" t="s">
        <v>767</v>
      </c>
      <c r="AC39" s="60" t="s">
        <v>768</v>
      </c>
      <c r="AD39" s="60" t="s">
        <v>197</v>
      </c>
      <c r="AE39" s="60" t="s">
        <v>198</v>
      </c>
      <c r="AF39" s="60" t="s">
        <v>241</v>
      </c>
      <c r="AG39" s="60" t="s">
        <v>198</v>
      </c>
      <c r="AH39" s="60" t="s">
        <v>469</v>
      </c>
    </row>
    <row r="40" customFormat="false" ht="51.75" hidden="false" customHeight="true" outlineLevel="0" collapsed="false">
      <c r="A40" s="60" t="n">
        <v>39</v>
      </c>
      <c r="B40" s="60" t="s">
        <v>769</v>
      </c>
      <c r="C40" s="60" t="s">
        <v>770</v>
      </c>
      <c r="D40" s="60" t="s">
        <v>771</v>
      </c>
      <c r="E40" s="60" t="s">
        <v>772</v>
      </c>
      <c r="F40" s="60" t="s">
        <v>198</v>
      </c>
      <c r="G40" s="60" t="s">
        <v>773</v>
      </c>
      <c r="H40" s="60" t="s">
        <v>617</v>
      </c>
      <c r="I40" s="60"/>
      <c r="J40" s="60" t="s">
        <v>774</v>
      </c>
      <c r="K40" s="60" t="s">
        <v>181</v>
      </c>
      <c r="L40" s="60" t="s">
        <v>619</v>
      </c>
      <c r="M40" s="60" t="s">
        <v>775</v>
      </c>
      <c r="N40" s="60" t="s">
        <v>184</v>
      </c>
      <c r="O40" s="60"/>
      <c r="P40" s="60" t="s">
        <v>187</v>
      </c>
      <c r="Q40" s="60" t="s">
        <v>187</v>
      </c>
      <c r="R40" s="60" t="s">
        <v>187</v>
      </c>
      <c r="S40" s="60" t="s">
        <v>187</v>
      </c>
      <c r="T40" s="60" t="s">
        <v>184</v>
      </c>
      <c r="U40" s="60" t="s">
        <v>187</v>
      </c>
      <c r="V40" s="60" t="s">
        <v>187</v>
      </c>
      <c r="W40" s="60" t="s">
        <v>187</v>
      </c>
      <c r="X40" s="60" t="s">
        <v>217</v>
      </c>
      <c r="Y40" s="60" t="s">
        <v>776</v>
      </c>
      <c r="Z40" s="60" t="s">
        <v>777</v>
      </c>
      <c r="AA40" s="60" t="s">
        <v>219</v>
      </c>
      <c r="AB40" s="60" t="s">
        <v>778</v>
      </c>
      <c r="AC40" s="60" t="s">
        <v>779</v>
      </c>
      <c r="AD40" s="60" t="s">
        <v>197</v>
      </c>
      <c r="AE40" s="60" t="s">
        <v>198</v>
      </c>
      <c r="AF40" s="60" t="s">
        <v>241</v>
      </c>
      <c r="AG40" s="60" t="s">
        <v>198</v>
      </c>
      <c r="AH40" s="60" t="s">
        <v>780</v>
      </c>
    </row>
    <row r="41" customFormat="false" ht="64.5" hidden="false" customHeight="true" outlineLevel="0" collapsed="false">
      <c r="A41" s="60" t="n">
        <v>40</v>
      </c>
      <c r="B41" s="60" t="s">
        <v>781</v>
      </c>
      <c r="C41" s="60" t="s">
        <v>782</v>
      </c>
      <c r="D41" s="60" t="s">
        <v>783</v>
      </c>
      <c r="E41" s="60" t="s">
        <v>784</v>
      </c>
      <c r="F41" s="60" t="s">
        <v>198</v>
      </c>
      <c r="G41" s="60" t="s">
        <v>785</v>
      </c>
      <c r="H41" s="60" t="s">
        <v>786</v>
      </c>
      <c r="I41" s="60" t="s">
        <v>787</v>
      </c>
      <c r="J41" s="60" t="s">
        <v>788</v>
      </c>
      <c r="K41" s="60" t="s">
        <v>181</v>
      </c>
      <c r="L41" s="60" t="s">
        <v>789</v>
      </c>
      <c r="M41" s="60" t="s">
        <v>790</v>
      </c>
      <c r="N41" s="60" t="s">
        <v>184</v>
      </c>
      <c r="O41" s="60"/>
      <c r="P41" s="60" t="s">
        <v>187</v>
      </c>
      <c r="Q41" s="60" t="s">
        <v>187</v>
      </c>
      <c r="R41" s="60" t="s">
        <v>187</v>
      </c>
      <c r="S41" s="60" t="s">
        <v>187</v>
      </c>
      <c r="T41" s="60" t="s">
        <v>184</v>
      </c>
      <c r="U41" s="60" t="s">
        <v>315</v>
      </c>
      <c r="V41" s="60" t="s">
        <v>187</v>
      </c>
      <c r="W41" s="60" t="s">
        <v>791</v>
      </c>
      <c r="X41" s="60" t="s">
        <v>217</v>
      </c>
      <c r="Y41" s="60" t="s">
        <v>792</v>
      </c>
      <c r="Z41" s="60" t="s">
        <v>193</v>
      </c>
      <c r="AA41" s="60" t="s">
        <v>350</v>
      </c>
      <c r="AB41" s="60" t="s">
        <v>793</v>
      </c>
      <c r="AC41" s="60" t="s">
        <v>794</v>
      </c>
      <c r="AD41" s="60" t="s">
        <v>197</v>
      </c>
      <c r="AE41" s="60" t="s">
        <v>198</v>
      </c>
      <c r="AF41" s="60" t="s">
        <v>241</v>
      </c>
      <c r="AG41" s="60" t="s">
        <v>198</v>
      </c>
      <c r="AH41" s="60" t="s">
        <v>795</v>
      </c>
    </row>
    <row r="42" customFormat="false" ht="39" hidden="false" customHeight="true" outlineLevel="0" collapsed="false">
      <c r="A42" s="60" t="n">
        <v>41</v>
      </c>
      <c r="B42" s="60" t="s">
        <v>796</v>
      </c>
      <c r="C42" s="60" t="s">
        <v>797</v>
      </c>
      <c r="D42" s="60" t="s">
        <v>798</v>
      </c>
      <c r="E42" s="60" t="s">
        <v>799</v>
      </c>
      <c r="F42" s="60" t="s">
        <v>198</v>
      </c>
      <c r="G42" s="60" t="s">
        <v>655</v>
      </c>
      <c r="H42" s="60" t="s">
        <v>360</v>
      </c>
      <c r="I42" s="60"/>
      <c r="J42" s="60" t="s">
        <v>800</v>
      </c>
      <c r="K42" s="60" t="s">
        <v>181</v>
      </c>
      <c r="L42" s="60" t="s">
        <v>801</v>
      </c>
      <c r="M42" s="60" t="s">
        <v>187</v>
      </c>
      <c r="N42" s="60" t="s">
        <v>802</v>
      </c>
      <c r="O42" s="60"/>
      <c r="P42" s="60" t="s">
        <v>187</v>
      </c>
      <c r="Q42" s="60" t="s">
        <v>187</v>
      </c>
      <c r="R42" s="60" t="s">
        <v>187</v>
      </c>
      <c r="S42" s="60" t="s">
        <v>187</v>
      </c>
      <c r="T42" s="60" t="s">
        <v>184</v>
      </c>
      <c r="U42" s="60" t="s">
        <v>187</v>
      </c>
      <c r="V42" s="60" t="s">
        <v>187</v>
      </c>
      <c r="W42" s="60" t="s">
        <v>187</v>
      </c>
      <c r="X42" s="60" t="s">
        <v>217</v>
      </c>
      <c r="Y42" s="60" t="s">
        <v>803</v>
      </c>
      <c r="Z42" s="60" t="s">
        <v>193</v>
      </c>
      <c r="AA42" s="60" t="s">
        <v>804</v>
      </c>
      <c r="AB42" s="60" t="s">
        <v>805</v>
      </c>
      <c r="AC42" s="60" t="s">
        <v>806</v>
      </c>
      <c r="AD42" s="60" t="s">
        <v>197</v>
      </c>
      <c r="AE42" s="60" t="s">
        <v>198</v>
      </c>
      <c r="AF42" s="60" t="s">
        <v>241</v>
      </c>
      <c r="AG42" s="60" t="s">
        <v>198</v>
      </c>
      <c r="AH42" s="60" t="s">
        <v>469</v>
      </c>
    </row>
    <row r="43" customFormat="false" ht="102.75" hidden="false" customHeight="true" outlineLevel="0" collapsed="false">
      <c r="A43" s="60" t="n">
        <v>42</v>
      </c>
      <c r="B43" s="60" t="s">
        <v>807</v>
      </c>
      <c r="C43" s="60" t="s">
        <v>808</v>
      </c>
      <c r="D43" s="60" t="s">
        <v>809</v>
      </c>
      <c r="E43" s="60" t="s">
        <v>810</v>
      </c>
      <c r="F43" s="60" t="s">
        <v>198</v>
      </c>
      <c r="G43" s="60" t="s">
        <v>811</v>
      </c>
      <c r="H43" s="60" t="s">
        <v>493</v>
      </c>
      <c r="I43" s="60" t="s">
        <v>812</v>
      </c>
      <c r="J43" s="60" t="s">
        <v>813</v>
      </c>
      <c r="K43" s="60" t="s">
        <v>181</v>
      </c>
      <c r="L43" s="60" t="s">
        <v>814</v>
      </c>
      <c r="M43" s="60" t="s">
        <v>645</v>
      </c>
      <c r="N43" s="60" t="s">
        <v>646</v>
      </c>
      <c r="O43" s="60" t="s">
        <v>815</v>
      </c>
      <c r="P43" s="60" t="s">
        <v>816</v>
      </c>
      <c r="Q43" s="60" t="s">
        <v>187</v>
      </c>
      <c r="R43" s="60" t="s">
        <v>187</v>
      </c>
      <c r="S43" s="60" t="s">
        <v>187</v>
      </c>
      <c r="T43" s="60" t="s">
        <v>817</v>
      </c>
      <c r="U43" s="60" t="s">
        <v>818</v>
      </c>
      <c r="V43" s="60" t="s">
        <v>819</v>
      </c>
      <c r="W43" s="60" t="s">
        <v>820</v>
      </c>
      <c r="X43" s="60" t="s">
        <v>217</v>
      </c>
      <c r="Y43" s="60" t="s">
        <v>821</v>
      </c>
      <c r="Z43" s="60" t="s">
        <v>318</v>
      </c>
      <c r="AA43" s="60" t="s">
        <v>350</v>
      </c>
      <c r="AB43" s="60" t="s">
        <v>822</v>
      </c>
      <c r="AC43" s="60" t="s">
        <v>823</v>
      </c>
      <c r="AD43" s="60" t="s">
        <v>197</v>
      </c>
      <c r="AE43" s="60" t="s">
        <v>198</v>
      </c>
      <c r="AF43" s="60" t="s">
        <v>241</v>
      </c>
      <c r="AG43" s="60" t="s">
        <v>198</v>
      </c>
      <c r="AH43" s="60" t="s">
        <v>824</v>
      </c>
    </row>
    <row r="44" customFormat="false" ht="39" hidden="false" customHeight="true" outlineLevel="0" collapsed="false">
      <c r="A44" s="60" t="n">
        <v>43</v>
      </c>
      <c r="B44" s="60" t="s">
        <v>825</v>
      </c>
      <c r="C44" s="60" t="s">
        <v>826</v>
      </c>
      <c r="D44" s="60" t="s">
        <v>827</v>
      </c>
      <c r="E44" s="60" t="s">
        <v>828</v>
      </c>
      <c r="F44" s="60" t="s">
        <v>829</v>
      </c>
      <c r="G44" s="60" t="s">
        <v>655</v>
      </c>
      <c r="H44" s="60" t="s">
        <v>830</v>
      </c>
      <c r="I44" s="60"/>
      <c r="J44" s="60" t="s">
        <v>831</v>
      </c>
      <c r="K44" s="60" t="s">
        <v>181</v>
      </c>
      <c r="L44" s="60" t="s">
        <v>832</v>
      </c>
      <c r="M44" s="60" t="s">
        <v>187</v>
      </c>
      <c r="N44" s="60" t="s">
        <v>184</v>
      </c>
      <c r="O44" s="60"/>
      <c r="P44" s="60" t="s">
        <v>187</v>
      </c>
      <c r="Q44" s="60" t="s">
        <v>187</v>
      </c>
      <c r="R44" s="60" t="s">
        <v>187</v>
      </c>
      <c r="S44" s="60" t="s">
        <v>187</v>
      </c>
      <c r="T44" s="60" t="s">
        <v>184</v>
      </c>
      <c r="U44" s="60" t="s">
        <v>187</v>
      </c>
      <c r="V44" s="60" t="s">
        <v>187</v>
      </c>
      <c r="W44" s="60" t="s">
        <v>187</v>
      </c>
      <c r="X44" s="60" t="s">
        <v>217</v>
      </c>
      <c r="Y44" s="60" t="s">
        <v>833</v>
      </c>
      <c r="Z44" s="60" t="s">
        <v>277</v>
      </c>
      <c r="AA44" s="60" t="s">
        <v>219</v>
      </c>
      <c r="AB44" s="60" t="s">
        <v>834</v>
      </c>
      <c r="AC44" s="60" t="s">
        <v>835</v>
      </c>
      <c r="AD44" s="60" t="s">
        <v>280</v>
      </c>
      <c r="AE44" s="60" t="s">
        <v>198</v>
      </c>
      <c r="AF44" s="60" t="s">
        <v>199</v>
      </c>
      <c r="AG44" s="60" t="s">
        <v>836</v>
      </c>
      <c r="AH44" s="60" t="s">
        <v>837</v>
      </c>
    </row>
    <row r="45" customFormat="false" ht="51.75" hidden="false" customHeight="true" outlineLevel="0" collapsed="false">
      <c r="A45" s="60" t="n">
        <v>44</v>
      </c>
      <c r="B45" s="60" t="s">
        <v>838</v>
      </c>
      <c r="C45" s="60" t="s">
        <v>839</v>
      </c>
      <c r="D45" s="60" t="s">
        <v>840</v>
      </c>
      <c r="E45" s="60" t="s">
        <v>841</v>
      </c>
      <c r="F45" s="60" t="s">
        <v>198</v>
      </c>
      <c r="G45" s="60" t="s">
        <v>842</v>
      </c>
      <c r="H45" s="60" t="s">
        <v>307</v>
      </c>
      <c r="I45" s="60"/>
      <c r="J45" s="60" t="s">
        <v>496</v>
      </c>
      <c r="K45" s="60" t="s">
        <v>181</v>
      </c>
      <c r="L45" s="60" t="s">
        <v>710</v>
      </c>
      <c r="M45" s="60" t="s">
        <v>187</v>
      </c>
      <c r="N45" s="60" t="s">
        <v>184</v>
      </c>
      <c r="O45" s="60"/>
      <c r="P45" s="60" t="s">
        <v>187</v>
      </c>
      <c r="Q45" s="60" t="s">
        <v>187</v>
      </c>
      <c r="R45" s="60" t="s">
        <v>187</v>
      </c>
      <c r="S45" s="60" t="s">
        <v>187</v>
      </c>
      <c r="T45" s="60" t="s">
        <v>184</v>
      </c>
      <c r="U45" s="60" t="s">
        <v>843</v>
      </c>
      <c r="V45" s="60" t="s">
        <v>187</v>
      </c>
      <c r="W45" s="60" t="s">
        <v>187</v>
      </c>
      <c r="X45" s="60" t="s">
        <v>844</v>
      </c>
      <c r="Y45" s="60" t="s">
        <v>845</v>
      </c>
      <c r="Z45" s="60" t="s">
        <v>318</v>
      </c>
      <c r="AA45" s="60" t="s">
        <v>194</v>
      </c>
      <c r="AB45" s="60" t="s">
        <v>846</v>
      </c>
      <c r="AC45" s="60" t="s">
        <v>847</v>
      </c>
      <c r="AD45" s="60" t="s">
        <v>270</v>
      </c>
      <c r="AE45" s="60" t="s">
        <v>198</v>
      </c>
      <c r="AF45" s="60" t="s">
        <v>199</v>
      </c>
      <c r="AG45" s="60" t="s">
        <v>848</v>
      </c>
      <c r="AH45" s="60" t="s">
        <v>849</v>
      </c>
    </row>
    <row r="46" customFormat="false" ht="51.75" hidden="false" customHeight="true" outlineLevel="0" collapsed="false">
      <c r="A46" s="60" t="n">
        <v>45</v>
      </c>
      <c r="B46" s="60" t="s">
        <v>850</v>
      </c>
      <c r="C46" s="60" t="s">
        <v>851</v>
      </c>
      <c r="D46" s="60" t="s">
        <v>852</v>
      </c>
      <c r="E46" s="60" t="s">
        <v>853</v>
      </c>
      <c r="F46" s="60" t="s">
        <v>198</v>
      </c>
      <c r="G46" s="60" t="s">
        <v>345</v>
      </c>
      <c r="H46" s="60" t="s">
        <v>346</v>
      </c>
      <c r="I46" s="60"/>
      <c r="J46" s="60" t="s">
        <v>854</v>
      </c>
      <c r="K46" s="60" t="s">
        <v>181</v>
      </c>
      <c r="L46" s="60" t="s">
        <v>619</v>
      </c>
      <c r="M46" s="60" t="s">
        <v>187</v>
      </c>
      <c r="N46" s="60" t="s">
        <v>184</v>
      </c>
      <c r="O46" s="60"/>
      <c r="P46" s="60" t="s">
        <v>187</v>
      </c>
      <c r="Q46" s="60" t="s">
        <v>187</v>
      </c>
      <c r="R46" s="60" t="s">
        <v>187</v>
      </c>
      <c r="S46" s="60" t="s">
        <v>187</v>
      </c>
      <c r="T46" s="60" t="s">
        <v>184</v>
      </c>
      <c r="U46" s="60" t="s">
        <v>187</v>
      </c>
      <c r="V46" s="60" t="s">
        <v>187</v>
      </c>
      <c r="W46" s="60" t="s">
        <v>294</v>
      </c>
      <c r="X46" s="60" t="s">
        <v>217</v>
      </c>
      <c r="Y46" s="60" t="s">
        <v>855</v>
      </c>
      <c r="Z46" s="60" t="s">
        <v>318</v>
      </c>
      <c r="AA46" s="60" t="s">
        <v>350</v>
      </c>
      <c r="AB46" s="60" t="s">
        <v>856</v>
      </c>
      <c r="AC46" s="60" t="s">
        <v>857</v>
      </c>
      <c r="AD46" s="60" t="s">
        <v>197</v>
      </c>
      <c r="AE46" s="60" t="s">
        <v>198</v>
      </c>
      <c r="AF46" s="60" t="s">
        <v>241</v>
      </c>
      <c r="AG46" s="60" t="s">
        <v>198</v>
      </c>
      <c r="AH46" s="60" t="s">
        <v>124</v>
      </c>
    </row>
    <row r="47" customFormat="false" ht="51.75" hidden="false" customHeight="true" outlineLevel="0" collapsed="false">
      <c r="A47" s="60" t="n">
        <v>46</v>
      </c>
      <c r="B47" s="60" t="s">
        <v>858</v>
      </c>
      <c r="C47" s="60" t="s">
        <v>859</v>
      </c>
      <c r="D47" s="60" t="s">
        <v>860</v>
      </c>
      <c r="E47" s="60" t="s">
        <v>861</v>
      </c>
      <c r="F47" s="60" t="s">
        <v>198</v>
      </c>
      <c r="G47" s="60" t="s">
        <v>655</v>
      </c>
      <c r="H47" s="60" t="s">
        <v>862</v>
      </c>
      <c r="I47" s="60" t="s">
        <v>863</v>
      </c>
      <c r="J47" s="60" t="s">
        <v>864</v>
      </c>
      <c r="K47" s="60" t="s">
        <v>181</v>
      </c>
      <c r="L47" s="60" t="s">
        <v>271</v>
      </c>
      <c r="M47" s="60" t="s">
        <v>863</v>
      </c>
      <c r="N47" s="60" t="s">
        <v>184</v>
      </c>
      <c r="O47" s="60"/>
      <c r="P47" s="60" t="s">
        <v>865</v>
      </c>
      <c r="Q47" s="60" t="s">
        <v>187</v>
      </c>
      <c r="R47" s="60" t="s">
        <v>187</v>
      </c>
      <c r="S47" s="60" t="s">
        <v>187</v>
      </c>
      <c r="T47" s="60" t="s">
        <v>184</v>
      </c>
      <c r="U47" s="60" t="s">
        <v>187</v>
      </c>
      <c r="V47" s="60" t="s">
        <v>187</v>
      </c>
      <c r="W47" s="60" t="s">
        <v>187</v>
      </c>
      <c r="X47" s="60" t="s">
        <v>217</v>
      </c>
      <c r="Y47" s="60" t="s">
        <v>866</v>
      </c>
      <c r="Z47" s="60" t="s">
        <v>193</v>
      </c>
      <c r="AA47" s="60" t="s">
        <v>194</v>
      </c>
      <c r="AB47" s="60" t="s">
        <v>867</v>
      </c>
      <c r="AC47" s="60" t="s">
        <v>868</v>
      </c>
      <c r="AD47" s="60" t="s">
        <v>197</v>
      </c>
      <c r="AE47" s="60" t="s">
        <v>198</v>
      </c>
      <c r="AF47" s="60" t="s">
        <v>241</v>
      </c>
      <c r="AG47" s="60" t="s">
        <v>198</v>
      </c>
      <c r="AH47" s="60" t="s">
        <v>869</v>
      </c>
    </row>
    <row r="48" customFormat="false" ht="39" hidden="false" customHeight="true" outlineLevel="0" collapsed="false">
      <c r="A48" s="60" t="n">
        <v>47</v>
      </c>
      <c r="B48" s="60" t="s">
        <v>870</v>
      </c>
      <c r="C48" s="60" t="s">
        <v>871</v>
      </c>
      <c r="D48" s="60" t="s">
        <v>872</v>
      </c>
      <c r="E48" s="60" t="s">
        <v>873</v>
      </c>
      <c r="F48" s="60" t="s">
        <v>198</v>
      </c>
      <c r="G48" s="60" t="s">
        <v>345</v>
      </c>
      <c r="H48" s="60" t="s">
        <v>346</v>
      </c>
      <c r="I48" s="60"/>
      <c r="J48" s="60" t="s">
        <v>347</v>
      </c>
      <c r="K48" s="60" t="s">
        <v>181</v>
      </c>
      <c r="L48" s="60" t="s">
        <v>348</v>
      </c>
      <c r="M48" s="60" t="s">
        <v>233</v>
      </c>
      <c r="N48" s="60" t="s">
        <v>184</v>
      </c>
      <c r="O48" s="60"/>
      <c r="P48" s="60" t="s">
        <v>187</v>
      </c>
      <c r="Q48" s="60" t="s">
        <v>187</v>
      </c>
      <c r="R48" s="60" t="s">
        <v>187</v>
      </c>
      <c r="S48" s="60" t="s">
        <v>187</v>
      </c>
      <c r="T48" s="60" t="s">
        <v>184</v>
      </c>
      <c r="U48" s="60" t="s">
        <v>187</v>
      </c>
      <c r="V48" s="60" t="s">
        <v>187</v>
      </c>
      <c r="W48" s="60" t="s">
        <v>294</v>
      </c>
      <c r="X48" s="60" t="s">
        <v>217</v>
      </c>
      <c r="Y48" s="60" t="s">
        <v>349</v>
      </c>
      <c r="Z48" s="60" t="s">
        <v>318</v>
      </c>
      <c r="AA48" s="60" t="s">
        <v>350</v>
      </c>
      <c r="AB48" s="60" t="s">
        <v>874</v>
      </c>
      <c r="AC48" s="60" t="s">
        <v>875</v>
      </c>
      <c r="AD48" s="60" t="s">
        <v>197</v>
      </c>
      <c r="AE48" s="60" t="s">
        <v>198</v>
      </c>
      <c r="AF48" s="60" t="s">
        <v>199</v>
      </c>
      <c r="AG48" s="60" t="s">
        <v>874</v>
      </c>
      <c r="AH48" s="60" t="s">
        <v>124</v>
      </c>
    </row>
    <row r="49" customFormat="false" ht="39" hidden="false" customHeight="true" outlineLevel="0" collapsed="false">
      <c r="A49" s="60" t="n">
        <v>48</v>
      </c>
      <c r="B49" s="60" t="s">
        <v>876</v>
      </c>
      <c r="C49" s="60" t="s">
        <v>877</v>
      </c>
      <c r="D49" s="60" t="s">
        <v>878</v>
      </c>
      <c r="E49" s="60" t="s">
        <v>879</v>
      </c>
      <c r="F49" s="60" t="s">
        <v>198</v>
      </c>
      <c r="G49" s="60" t="s">
        <v>773</v>
      </c>
      <c r="H49" s="60" t="s">
        <v>880</v>
      </c>
      <c r="I49" s="60"/>
      <c r="J49" s="60" t="s">
        <v>881</v>
      </c>
      <c r="K49" s="60" t="s">
        <v>181</v>
      </c>
      <c r="L49" s="60" t="s">
        <v>882</v>
      </c>
      <c r="M49" s="60" t="s">
        <v>187</v>
      </c>
      <c r="N49" s="60" t="s">
        <v>184</v>
      </c>
      <c r="O49" s="60"/>
      <c r="P49" s="60" t="s">
        <v>187</v>
      </c>
      <c r="Q49" s="60" t="s">
        <v>187</v>
      </c>
      <c r="R49" s="60" t="s">
        <v>187</v>
      </c>
      <c r="S49" s="60" t="s">
        <v>187</v>
      </c>
      <c r="T49" s="60" t="s">
        <v>184</v>
      </c>
      <c r="U49" s="60" t="s">
        <v>187</v>
      </c>
      <c r="V49" s="60" t="s">
        <v>187</v>
      </c>
      <c r="W49" s="60" t="s">
        <v>187</v>
      </c>
      <c r="X49" s="60" t="s">
        <v>217</v>
      </c>
      <c r="Y49" s="60" t="s">
        <v>883</v>
      </c>
      <c r="Z49" s="60" t="s">
        <v>318</v>
      </c>
      <c r="AA49" s="60" t="s">
        <v>219</v>
      </c>
      <c r="AB49" s="60" t="s">
        <v>884</v>
      </c>
      <c r="AC49" s="60" t="s">
        <v>885</v>
      </c>
      <c r="AD49" s="60" t="s">
        <v>197</v>
      </c>
      <c r="AE49" s="60" t="s">
        <v>198</v>
      </c>
      <c r="AF49" s="60" t="s">
        <v>241</v>
      </c>
      <c r="AG49" s="60" t="s">
        <v>198</v>
      </c>
      <c r="AH49" s="60" t="s">
        <v>886</v>
      </c>
    </row>
    <row r="50" customFormat="false" ht="51.75" hidden="false" customHeight="true" outlineLevel="0" collapsed="false">
      <c r="A50" s="60" t="n">
        <v>49</v>
      </c>
      <c r="B50" s="60" t="s">
        <v>887</v>
      </c>
      <c r="C50" s="60" t="s">
        <v>888</v>
      </c>
      <c r="D50" s="60" t="s">
        <v>889</v>
      </c>
      <c r="E50" s="60" t="s">
        <v>890</v>
      </c>
      <c r="F50" s="60" t="s">
        <v>891</v>
      </c>
      <c r="G50" s="60" t="s">
        <v>892</v>
      </c>
      <c r="H50" s="60" t="s">
        <v>535</v>
      </c>
      <c r="I50" s="60" t="s">
        <v>893</v>
      </c>
      <c r="J50" s="60" t="s">
        <v>894</v>
      </c>
      <c r="K50" s="60" t="s">
        <v>181</v>
      </c>
      <c r="L50" s="60" t="s">
        <v>895</v>
      </c>
      <c r="M50" s="60" t="s">
        <v>187</v>
      </c>
      <c r="N50" s="60" t="s">
        <v>184</v>
      </c>
      <c r="O50" s="60"/>
      <c r="P50" s="60" t="s">
        <v>187</v>
      </c>
      <c r="Q50" s="60" t="s">
        <v>187</v>
      </c>
      <c r="R50" s="60" t="s">
        <v>896</v>
      </c>
      <c r="S50" s="60" t="s">
        <v>187</v>
      </c>
      <c r="T50" s="60" t="s">
        <v>539</v>
      </c>
      <c r="U50" s="60" t="s">
        <v>315</v>
      </c>
      <c r="V50" s="60" t="s">
        <v>187</v>
      </c>
      <c r="W50" s="60" t="s">
        <v>187</v>
      </c>
      <c r="X50" s="60" t="s">
        <v>897</v>
      </c>
      <c r="Y50" s="60" t="s">
        <v>898</v>
      </c>
      <c r="Z50" s="60" t="s">
        <v>318</v>
      </c>
      <c r="AA50" s="60" t="s">
        <v>219</v>
      </c>
      <c r="AB50" s="60" t="s">
        <v>899</v>
      </c>
      <c r="AC50" s="60" t="s">
        <v>900</v>
      </c>
      <c r="AD50" s="60" t="s">
        <v>280</v>
      </c>
      <c r="AE50" s="60" t="s">
        <v>198</v>
      </c>
      <c r="AF50" s="60" t="s">
        <v>199</v>
      </c>
      <c r="AG50" s="60" t="s">
        <v>901</v>
      </c>
      <c r="AH50" s="60" t="s">
        <v>902</v>
      </c>
    </row>
    <row r="51" customFormat="false" ht="39" hidden="false" customHeight="true" outlineLevel="0" collapsed="false">
      <c r="A51" s="60" t="n">
        <v>50</v>
      </c>
      <c r="B51" s="60" t="s">
        <v>903</v>
      </c>
      <c r="C51" s="60" t="s">
        <v>904</v>
      </c>
      <c r="D51" s="60" t="s">
        <v>905</v>
      </c>
      <c r="E51" s="60" t="s">
        <v>906</v>
      </c>
      <c r="F51" s="60" t="s">
        <v>198</v>
      </c>
      <c r="G51" s="60" t="s">
        <v>655</v>
      </c>
      <c r="H51" s="60" t="s">
        <v>493</v>
      </c>
      <c r="I51" s="60" t="s">
        <v>520</v>
      </c>
      <c r="J51" s="60" t="s">
        <v>907</v>
      </c>
      <c r="K51" s="60" t="s">
        <v>181</v>
      </c>
      <c r="L51" s="60" t="s">
        <v>619</v>
      </c>
      <c r="M51" s="60" t="s">
        <v>187</v>
      </c>
      <c r="N51" s="60" t="s">
        <v>184</v>
      </c>
      <c r="O51" s="60" t="s">
        <v>908</v>
      </c>
      <c r="P51" s="60" t="s">
        <v>187</v>
      </c>
      <c r="Q51" s="60" t="s">
        <v>187</v>
      </c>
      <c r="R51" s="60" t="s">
        <v>187</v>
      </c>
      <c r="S51" s="60" t="s">
        <v>187</v>
      </c>
      <c r="T51" s="60" t="s">
        <v>184</v>
      </c>
      <c r="U51" s="60" t="s">
        <v>187</v>
      </c>
      <c r="V51" s="60" t="s">
        <v>187</v>
      </c>
      <c r="W51" s="60" t="s">
        <v>187</v>
      </c>
      <c r="X51" s="60" t="s">
        <v>217</v>
      </c>
      <c r="Y51" s="60" t="s">
        <v>909</v>
      </c>
      <c r="Z51" s="60" t="s">
        <v>777</v>
      </c>
      <c r="AA51" s="60" t="s">
        <v>219</v>
      </c>
      <c r="AB51" s="60" t="s">
        <v>910</v>
      </c>
      <c r="AC51" s="60" t="s">
        <v>911</v>
      </c>
      <c r="AD51" s="60" t="s">
        <v>197</v>
      </c>
      <c r="AE51" s="60" t="s">
        <v>198</v>
      </c>
      <c r="AF51" s="60" t="s">
        <v>241</v>
      </c>
      <c r="AG51" s="60" t="s">
        <v>198</v>
      </c>
      <c r="AH51" s="60" t="s">
        <v>912</v>
      </c>
    </row>
    <row r="52" customFormat="false" ht="77.25" hidden="false" customHeight="true" outlineLevel="0" collapsed="false">
      <c r="A52" s="60" t="n">
        <v>51</v>
      </c>
      <c r="B52" s="60" t="s">
        <v>913</v>
      </c>
      <c r="C52" s="60" t="s">
        <v>914</v>
      </c>
      <c r="D52" s="60" t="s">
        <v>915</v>
      </c>
      <c r="E52" s="60" t="s">
        <v>916</v>
      </c>
      <c r="F52" s="60" t="s">
        <v>198</v>
      </c>
      <c r="G52" s="60" t="s">
        <v>917</v>
      </c>
      <c r="H52" s="60" t="s">
        <v>918</v>
      </c>
      <c r="I52" s="60"/>
      <c r="J52" s="60" t="s">
        <v>919</v>
      </c>
      <c r="K52" s="60" t="s">
        <v>270</v>
      </c>
      <c r="L52" s="60" t="s">
        <v>920</v>
      </c>
      <c r="M52" s="60" t="s">
        <v>918</v>
      </c>
      <c r="N52" s="60" t="s">
        <v>921</v>
      </c>
      <c r="O52" s="60"/>
      <c r="P52" s="60" t="s">
        <v>187</v>
      </c>
      <c r="Q52" s="60" t="s">
        <v>187</v>
      </c>
      <c r="R52" s="60" t="s">
        <v>187</v>
      </c>
      <c r="S52" s="60" t="s">
        <v>922</v>
      </c>
      <c r="T52" s="60" t="s">
        <v>184</v>
      </c>
      <c r="U52" s="60" t="s">
        <v>187</v>
      </c>
      <c r="V52" s="60" t="s">
        <v>187</v>
      </c>
      <c r="W52" s="60" t="s">
        <v>187</v>
      </c>
      <c r="X52" s="60" t="s">
        <v>923</v>
      </c>
      <c r="Y52" s="60" t="s">
        <v>924</v>
      </c>
      <c r="Z52" s="60" t="s">
        <v>318</v>
      </c>
      <c r="AA52" s="60" t="s">
        <v>194</v>
      </c>
      <c r="AB52" s="60" t="s">
        <v>925</v>
      </c>
      <c r="AC52" s="60" t="s">
        <v>926</v>
      </c>
      <c r="AD52" s="60" t="s">
        <v>197</v>
      </c>
      <c r="AE52" s="60" t="s">
        <v>198</v>
      </c>
      <c r="AF52" s="60" t="s">
        <v>241</v>
      </c>
      <c r="AG52" s="60" t="s">
        <v>198</v>
      </c>
      <c r="AH52" s="60" t="s">
        <v>927</v>
      </c>
    </row>
    <row r="53" customFormat="false" ht="64.5" hidden="false" customHeight="true" outlineLevel="0" collapsed="false">
      <c r="A53" s="60" t="n">
        <v>52</v>
      </c>
      <c r="B53" s="60" t="s">
        <v>928</v>
      </c>
      <c r="C53" s="60" t="s">
        <v>929</v>
      </c>
      <c r="D53" s="60" t="s">
        <v>930</v>
      </c>
      <c r="E53" s="60" t="s">
        <v>931</v>
      </c>
      <c r="F53" s="60" t="s">
        <v>198</v>
      </c>
      <c r="G53" s="60" t="s">
        <v>773</v>
      </c>
      <c r="H53" s="60" t="s">
        <v>863</v>
      </c>
      <c r="I53" s="60" t="s">
        <v>38</v>
      </c>
      <c r="J53" s="60" t="s">
        <v>932</v>
      </c>
      <c r="K53" s="60" t="s">
        <v>181</v>
      </c>
      <c r="L53" s="60" t="s">
        <v>933</v>
      </c>
      <c r="M53" s="60" t="s">
        <v>645</v>
      </c>
      <c r="N53" s="60" t="s">
        <v>646</v>
      </c>
      <c r="O53" s="60" t="s">
        <v>934</v>
      </c>
      <c r="P53" s="60" t="s">
        <v>187</v>
      </c>
      <c r="Q53" s="60" t="s">
        <v>187</v>
      </c>
      <c r="R53" s="60" t="s">
        <v>187</v>
      </c>
      <c r="S53" s="60" t="s">
        <v>935</v>
      </c>
      <c r="T53" s="60" t="s">
        <v>184</v>
      </c>
      <c r="U53" s="60" t="s">
        <v>936</v>
      </c>
      <c r="V53" s="60" t="s">
        <v>187</v>
      </c>
      <c r="W53" s="60" t="s">
        <v>187</v>
      </c>
      <c r="X53" s="60" t="s">
        <v>217</v>
      </c>
      <c r="Y53" s="60" t="s">
        <v>937</v>
      </c>
      <c r="Z53" s="60" t="s">
        <v>277</v>
      </c>
      <c r="AA53" s="60" t="s">
        <v>219</v>
      </c>
      <c r="AB53" s="60" t="s">
        <v>938</v>
      </c>
      <c r="AC53" s="60" t="s">
        <v>939</v>
      </c>
      <c r="AD53" s="60" t="s">
        <v>280</v>
      </c>
      <c r="AE53" s="60" t="s">
        <v>198</v>
      </c>
      <c r="AF53" s="60" t="s">
        <v>199</v>
      </c>
      <c r="AG53" s="60" t="s">
        <v>940</v>
      </c>
      <c r="AH53" s="60" t="s">
        <v>941</v>
      </c>
    </row>
    <row r="54" customFormat="false" ht="39" hidden="false" customHeight="true" outlineLevel="0" collapsed="false">
      <c r="A54" s="60" t="n">
        <v>53</v>
      </c>
      <c r="B54" s="60" t="s">
        <v>942</v>
      </c>
      <c r="C54" s="60" t="s">
        <v>943</v>
      </c>
      <c r="D54" s="60" t="s">
        <v>944</v>
      </c>
      <c r="E54" s="60" t="s">
        <v>945</v>
      </c>
      <c r="F54" s="60" t="s">
        <v>198</v>
      </c>
      <c r="G54" s="60" t="s">
        <v>946</v>
      </c>
      <c r="H54" s="60" t="s">
        <v>947</v>
      </c>
      <c r="I54" s="60"/>
      <c r="J54" s="60" t="s">
        <v>948</v>
      </c>
      <c r="K54" s="60" t="s">
        <v>181</v>
      </c>
      <c r="L54" s="60" t="s">
        <v>949</v>
      </c>
      <c r="M54" s="60" t="s">
        <v>331</v>
      </c>
      <c r="N54" s="60" t="s">
        <v>184</v>
      </c>
      <c r="O54" s="60"/>
      <c r="P54" s="60" t="s">
        <v>187</v>
      </c>
      <c r="Q54" s="60" t="s">
        <v>187</v>
      </c>
      <c r="R54" s="60" t="s">
        <v>950</v>
      </c>
      <c r="S54" s="60" t="s">
        <v>187</v>
      </c>
      <c r="T54" s="60" t="s">
        <v>184</v>
      </c>
      <c r="U54" s="60" t="s">
        <v>187</v>
      </c>
      <c r="V54" s="60" t="s">
        <v>187</v>
      </c>
      <c r="W54" s="60" t="s">
        <v>335</v>
      </c>
      <c r="X54" s="60" t="s">
        <v>217</v>
      </c>
      <c r="Y54" s="60" t="s">
        <v>951</v>
      </c>
      <c r="Z54" s="60" t="s">
        <v>277</v>
      </c>
      <c r="AA54" s="60" t="s">
        <v>350</v>
      </c>
      <c r="AB54" s="60" t="s">
        <v>952</v>
      </c>
      <c r="AC54" s="60" t="s">
        <v>953</v>
      </c>
      <c r="AD54" s="60" t="s">
        <v>197</v>
      </c>
      <c r="AE54" s="60" t="s">
        <v>198</v>
      </c>
      <c r="AF54" s="60" t="s">
        <v>241</v>
      </c>
      <c r="AG54" s="60" t="s">
        <v>198</v>
      </c>
      <c r="AH54" s="60" t="s">
        <v>954</v>
      </c>
    </row>
    <row r="55" customFormat="false" ht="64.5" hidden="false" customHeight="true" outlineLevel="0" collapsed="false">
      <c r="A55" s="60" t="n">
        <v>54</v>
      </c>
      <c r="B55" s="60" t="s">
        <v>955</v>
      </c>
      <c r="C55" s="60" t="s">
        <v>956</v>
      </c>
      <c r="D55" s="60" t="s">
        <v>957</v>
      </c>
      <c r="E55" s="60" t="s">
        <v>958</v>
      </c>
      <c r="F55" s="60" t="s">
        <v>198</v>
      </c>
      <c r="G55" s="60" t="s">
        <v>959</v>
      </c>
      <c r="H55" s="60" t="s">
        <v>960</v>
      </c>
      <c r="I55" s="60"/>
      <c r="J55" s="60" t="s">
        <v>961</v>
      </c>
      <c r="K55" s="60" t="s">
        <v>270</v>
      </c>
      <c r="L55" s="60" t="s">
        <v>962</v>
      </c>
      <c r="M55" s="60" t="s">
        <v>187</v>
      </c>
      <c r="N55" s="60" t="s">
        <v>184</v>
      </c>
      <c r="O55" s="60"/>
      <c r="P55" s="60" t="s">
        <v>963</v>
      </c>
      <c r="Q55" s="60" t="s">
        <v>187</v>
      </c>
      <c r="R55" s="60" t="s">
        <v>187</v>
      </c>
      <c r="S55" s="60" t="s">
        <v>964</v>
      </c>
      <c r="T55" s="60" t="s">
        <v>184</v>
      </c>
      <c r="U55" s="60" t="s">
        <v>431</v>
      </c>
      <c r="V55" s="60" t="s">
        <v>965</v>
      </c>
      <c r="W55" s="60" t="s">
        <v>187</v>
      </c>
      <c r="X55" s="60" t="s">
        <v>966</v>
      </c>
      <c r="Y55" s="60" t="s">
        <v>967</v>
      </c>
      <c r="Z55" s="60" t="s">
        <v>277</v>
      </c>
      <c r="AA55" s="60" t="s">
        <v>350</v>
      </c>
      <c r="AB55" s="60" t="s">
        <v>968</v>
      </c>
      <c r="AC55" s="60" t="s">
        <v>969</v>
      </c>
      <c r="AD55" s="60" t="s">
        <v>197</v>
      </c>
      <c r="AE55" s="60" t="s">
        <v>198</v>
      </c>
      <c r="AF55" s="60" t="s">
        <v>241</v>
      </c>
      <c r="AG55" s="60" t="s">
        <v>198</v>
      </c>
      <c r="AH55" s="60" t="s">
        <v>970</v>
      </c>
    </row>
    <row r="56" customFormat="false" ht="77.25" hidden="false" customHeight="true" outlineLevel="0" collapsed="false">
      <c r="A56" s="60" t="n">
        <v>55</v>
      </c>
      <c r="B56" s="60" t="s">
        <v>971</v>
      </c>
      <c r="C56" s="60" t="s">
        <v>972</v>
      </c>
      <c r="D56" s="60" t="s">
        <v>973</v>
      </c>
      <c r="E56" s="60" t="s">
        <v>974</v>
      </c>
      <c r="F56" s="60" t="s">
        <v>975</v>
      </c>
      <c r="G56" s="60" t="s">
        <v>976</v>
      </c>
      <c r="H56" s="60" t="s">
        <v>977</v>
      </c>
      <c r="I56" s="60" t="s">
        <v>978</v>
      </c>
      <c r="J56" s="60" t="s">
        <v>979</v>
      </c>
      <c r="K56" s="60" t="s">
        <v>181</v>
      </c>
      <c r="L56" s="60" t="s">
        <v>980</v>
      </c>
      <c r="M56" s="60" t="s">
        <v>187</v>
      </c>
      <c r="N56" s="60" t="s">
        <v>184</v>
      </c>
      <c r="O56" s="60"/>
      <c r="P56" s="60" t="s">
        <v>187</v>
      </c>
      <c r="Q56" s="60" t="s">
        <v>981</v>
      </c>
      <c r="R56" s="60" t="s">
        <v>187</v>
      </c>
      <c r="S56" s="60" t="s">
        <v>187</v>
      </c>
      <c r="T56" s="60" t="s">
        <v>237</v>
      </c>
      <c r="U56" s="60" t="s">
        <v>187</v>
      </c>
      <c r="V56" s="60" t="s">
        <v>187</v>
      </c>
      <c r="W56" s="60" t="s">
        <v>187</v>
      </c>
      <c r="X56" s="60" t="s">
        <v>982</v>
      </c>
      <c r="Y56" s="60" t="s">
        <v>983</v>
      </c>
      <c r="Z56" s="60" t="s">
        <v>193</v>
      </c>
      <c r="AA56" s="60" t="s">
        <v>512</v>
      </c>
      <c r="AB56" s="60" t="s">
        <v>984</v>
      </c>
      <c r="AC56" s="60" t="s">
        <v>985</v>
      </c>
      <c r="AD56" s="60" t="s">
        <v>280</v>
      </c>
      <c r="AE56" s="60" t="s">
        <v>986</v>
      </c>
      <c r="AF56" s="60" t="s">
        <v>199</v>
      </c>
      <c r="AG56" s="60" t="s">
        <v>987</v>
      </c>
      <c r="AH56" s="60" t="s">
        <v>988</v>
      </c>
    </row>
    <row r="57" customFormat="false" ht="51.75" hidden="false" customHeight="true" outlineLevel="0" collapsed="false">
      <c r="A57" s="60" t="n">
        <v>56</v>
      </c>
      <c r="B57" s="60" t="s">
        <v>989</v>
      </c>
      <c r="C57" s="60" t="s">
        <v>990</v>
      </c>
      <c r="D57" s="60" t="s">
        <v>991</v>
      </c>
      <c r="E57" s="60" t="s">
        <v>992</v>
      </c>
      <c r="F57" s="60" t="s">
        <v>198</v>
      </c>
      <c r="G57" s="60" t="s">
        <v>993</v>
      </c>
      <c r="H57" s="60" t="s">
        <v>977</v>
      </c>
      <c r="I57" s="60" t="s">
        <v>994</v>
      </c>
      <c r="J57" s="60" t="s">
        <v>995</v>
      </c>
      <c r="K57" s="60" t="s">
        <v>197</v>
      </c>
      <c r="L57" s="60" t="s">
        <v>996</v>
      </c>
      <c r="M57" s="60" t="s">
        <v>187</v>
      </c>
      <c r="N57" s="60" t="s">
        <v>184</v>
      </c>
      <c r="O57" s="60"/>
      <c r="P57" s="60" t="s">
        <v>187</v>
      </c>
      <c r="Q57" s="60" t="s">
        <v>997</v>
      </c>
      <c r="R57" s="60" t="s">
        <v>187</v>
      </c>
      <c r="S57" s="60" t="s">
        <v>187</v>
      </c>
      <c r="T57" s="60" t="s">
        <v>817</v>
      </c>
      <c r="U57" s="60" t="s">
        <v>187</v>
      </c>
      <c r="V57" s="60" t="s">
        <v>187</v>
      </c>
      <c r="W57" s="60" t="s">
        <v>187</v>
      </c>
      <c r="X57" s="60" t="s">
        <v>998</v>
      </c>
      <c r="Y57" s="60" t="s">
        <v>999</v>
      </c>
      <c r="Z57" s="60" t="s">
        <v>193</v>
      </c>
      <c r="AA57" s="60" t="s">
        <v>194</v>
      </c>
      <c r="AB57" s="60" t="s">
        <v>1000</v>
      </c>
      <c r="AC57" s="60" t="s">
        <v>1001</v>
      </c>
      <c r="AD57" s="60" t="s">
        <v>197</v>
      </c>
      <c r="AE57" s="60" t="s">
        <v>198</v>
      </c>
      <c r="AF57" s="60" t="s">
        <v>241</v>
      </c>
      <c r="AG57" s="60" t="s">
        <v>198</v>
      </c>
      <c r="AH57" s="60" t="s">
        <v>1002</v>
      </c>
    </row>
    <row r="58" customFormat="false" ht="51.75" hidden="false" customHeight="true" outlineLevel="0" collapsed="false">
      <c r="A58" s="60" t="n">
        <v>57</v>
      </c>
      <c r="B58" s="60" t="s">
        <v>1003</v>
      </c>
      <c r="C58" s="60" t="s">
        <v>1004</v>
      </c>
      <c r="D58" s="60" t="s">
        <v>1005</v>
      </c>
      <c r="E58" s="60" t="s">
        <v>1006</v>
      </c>
      <c r="F58" s="60" t="s">
        <v>198</v>
      </c>
      <c r="G58" s="60" t="s">
        <v>1007</v>
      </c>
      <c r="H58" s="60" t="s">
        <v>977</v>
      </c>
      <c r="I58" s="60"/>
      <c r="J58" s="60" t="s">
        <v>1008</v>
      </c>
      <c r="K58" s="60" t="s">
        <v>270</v>
      </c>
      <c r="L58" s="60" t="s">
        <v>1009</v>
      </c>
      <c r="M58" s="60" t="s">
        <v>187</v>
      </c>
      <c r="N58" s="60" t="s">
        <v>184</v>
      </c>
      <c r="O58" s="60"/>
      <c r="P58" s="60" t="s">
        <v>187</v>
      </c>
      <c r="Q58" s="60" t="s">
        <v>1010</v>
      </c>
      <c r="R58" s="60" t="s">
        <v>187</v>
      </c>
      <c r="S58" s="60" t="s">
        <v>187</v>
      </c>
      <c r="T58" s="60" t="s">
        <v>293</v>
      </c>
      <c r="U58" s="60" t="s">
        <v>187</v>
      </c>
      <c r="V58" s="60" t="s">
        <v>187</v>
      </c>
      <c r="W58" s="60" t="s">
        <v>187</v>
      </c>
      <c r="X58" s="60" t="s">
        <v>217</v>
      </c>
      <c r="Y58" s="60" t="s">
        <v>1011</v>
      </c>
      <c r="Z58" s="60" t="s">
        <v>193</v>
      </c>
      <c r="AA58" s="60" t="s">
        <v>257</v>
      </c>
      <c r="AB58" s="60" t="s">
        <v>1012</v>
      </c>
      <c r="AC58" s="60" t="s">
        <v>1013</v>
      </c>
      <c r="AD58" s="60" t="s">
        <v>270</v>
      </c>
      <c r="AE58" s="60" t="s">
        <v>1014</v>
      </c>
      <c r="AF58" s="60" t="s">
        <v>199</v>
      </c>
      <c r="AG58" s="60" t="s">
        <v>1015</v>
      </c>
      <c r="AH58" s="60" t="s">
        <v>130</v>
      </c>
    </row>
    <row r="59" customFormat="false" ht="39" hidden="false" customHeight="true" outlineLevel="0" collapsed="false">
      <c r="A59" s="60" t="n">
        <v>58</v>
      </c>
      <c r="B59" s="60" t="s">
        <v>1016</v>
      </c>
      <c r="C59" s="60" t="s">
        <v>1017</v>
      </c>
      <c r="D59" s="60" t="s">
        <v>1018</v>
      </c>
      <c r="E59" s="60" t="s">
        <v>1019</v>
      </c>
      <c r="F59" s="60" t="s">
        <v>198</v>
      </c>
      <c r="G59" s="60" t="s">
        <v>474</v>
      </c>
      <c r="H59" s="60" t="s">
        <v>1020</v>
      </c>
      <c r="I59" s="60" t="s">
        <v>863</v>
      </c>
      <c r="J59" s="60" t="s">
        <v>1021</v>
      </c>
      <c r="K59" s="60" t="s">
        <v>181</v>
      </c>
      <c r="L59" s="60" t="s">
        <v>644</v>
      </c>
      <c r="M59" s="60" t="s">
        <v>645</v>
      </c>
      <c r="N59" s="60" t="s">
        <v>646</v>
      </c>
      <c r="O59" s="60"/>
      <c r="P59" s="60" t="s">
        <v>1022</v>
      </c>
      <c r="Q59" s="60" t="s">
        <v>187</v>
      </c>
      <c r="R59" s="60" t="s">
        <v>187</v>
      </c>
      <c r="S59" s="60" t="s">
        <v>187</v>
      </c>
      <c r="T59" s="60" t="s">
        <v>184</v>
      </c>
      <c r="U59" s="60" t="s">
        <v>187</v>
      </c>
      <c r="V59" s="60" t="s">
        <v>1023</v>
      </c>
      <c r="W59" s="60" t="s">
        <v>187</v>
      </c>
      <c r="X59" s="60" t="s">
        <v>217</v>
      </c>
      <c r="Y59" s="60" t="s">
        <v>1024</v>
      </c>
      <c r="Z59" s="60" t="s">
        <v>277</v>
      </c>
      <c r="AA59" s="60" t="s">
        <v>350</v>
      </c>
      <c r="AB59" s="60" t="s">
        <v>1025</v>
      </c>
      <c r="AC59" s="60" t="s">
        <v>1026</v>
      </c>
      <c r="AD59" s="60" t="s">
        <v>197</v>
      </c>
      <c r="AE59" s="60" t="s">
        <v>198</v>
      </c>
      <c r="AF59" s="60" t="s">
        <v>241</v>
      </c>
      <c r="AG59" s="60" t="s">
        <v>198</v>
      </c>
      <c r="AH59" s="60" t="s">
        <v>1027</v>
      </c>
    </row>
    <row r="60" customFormat="false" ht="51.75" hidden="false" customHeight="true" outlineLevel="0" collapsed="false">
      <c r="A60" s="60" t="n">
        <v>59</v>
      </c>
      <c r="B60" s="60" t="s">
        <v>1028</v>
      </c>
      <c r="C60" s="60" t="s">
        <v>1029</v>
      </c>
      <c r="D60" s="60" t="s">
        <v>1030</v>
      </c>
      <c r="E60" s="60" t="s">
        <v>1031</v>
      </c>
      <c r="F60" s="60" t="s">
        <v>198</v>
      </c>
      <c r="G60" s="60" t="s">
        <v>1032</v>
      </c>
      <c r="H60" s="60" t="s">
        <v>1033</v>
      </c>
      <c r="I60" s="60"/>
      <c r="J60" s="60" t="s">
        <v>1034</v>
      </c>
      <c r="K60" s="60" t="s">
        <v>181</v>
      </c>
      <c r="L60" s="60" t="s">
        <v>949</v>
      </c>
      <c r="M60" s="60" t="s">
        <v>331</v>
      </c>
      <c r="N60" s="60" t="s">
        <v>184</v>
      </c>
      <c r="O60" s="60"/>
      <c r="P60" s="60" t="s">
        <v>187</v>
      </c>
      <c r="Q60" s="60" t="s">
        <v>187</v>
      </c>
      <c r="R60" s="60" t="s">
        <v>950</v>
      </c>
      <c r="S60" s="60" t="s">
        <v>187</v>
      </c>
      <c r="T60" s="60" t="s">
        <v>184</v>
      </c>
      <c r="U60" s="60" t="s">
        <v>187</v>
      </c>
      <c r="V60" s="60" t="s">
        <v>1035</v>
      </c>
      <c r="W60" s="60" t="s">
        <v>335</v>
      </c>
      <c r="X60" s="60" t="s">
        <v>217</v>
      </c>
      <c r="Y60" s="60" t="s">
        <v>1036</v>
      </c>
      <c r="Z60" s="60" t="s">
        <v>318</v>
      </c>
      <c r="AA60" s="60" t="s">
        <v>350</v>
      </c>
      <c r="AB60" s="60" t="s">
        <v>1037</v>
      </c>
      <c r="AC60" s="60" t="s">
        <v>1038</v>
      </c>
      <c r="AD60" s="60" t="s">
        <v>197</v>
      </c>
      <c r="AE60" s="60" t="s">
        <v>198</v>
      </c>
      <c r="AF60" s="60" t="s">
        <v>241</v>
      </c>
      <c r="AG60" s="60" t="s">
        <v>198</v>
      </c>
      <c r="AH60" s="60" t="s">
        <v>1039</v>
      </c>
    </row>
    <row r="61" customFormat="false" ht="51.75" hidden="false" customHeight="true" outlineLevel="0" collapsed="false">
      <c r="A61" s="60" t="n">
        <v>60</v>
      </c>
      <c r="B61" s="60" t="s">
        <v>1040</v>
      </c>
      <c r="C61" s="60" t="s">
        <v>1041</v>
      </c>
      <c r="D61" s="60" t="s">
        <v>1042</v>
      </c>
      <c r="E61" s="60" t="s">
        <v>1043</v>
      </c>
      <c r="F61" s="60" t="s">
        <v>198</v>
      </c>
      <c r="G61" s="60" t="s">
        <v>655</v>
      </c>
      <c r="H61" s="60" t="s">
        <v>230</v>
      </c>
      <c r="I61" s="60"/>
      <c r="J61" s="60" t="s">
        <v>1044</v>
      </c>
      <c r="K61" s="60" t="s">
        <v>181</v>
      </c>
      <c r="L61" s="60" t="s">
        <v>832</v>
      </c>
      <c r="M61" s="60" t="s">
        <v>233</v>
      </c>
      <c r="N61" s="60" t="s">
        <v>921</v>
      </c>
      <c r="O61" s="60"/>
      <c r="P61" s="60" t="s">
        <v>187</v>
      </c>
      <c r="Q61" s="60" t="s">
        <v>187</v>
      </c>
      <c r="R61" s="60" t="s">
        <v>187</v>
      </c>
      <c r="S61" s="60" t="s">
        <v>187</v>
      </c>
      <c r="T61" s="60" t="s">
        <v>184</v>
      </c>
      <c r="U61" s="60" t="s">
        <v>187</v>
      </c>
      <c r="V61" s="60" t="s">
        <v>187</v>
      </c>
      <c r="W61" s="60" t="s">
        <v>187</v>
      </c>
      <c r="X61" s="60" t="s">
        <v>217</v>
      </c>
      <c r="Y61" s="60" t="s">
        <v>1045</v>
      </c>
      <c r="Z61" s="60" t="s">
        <v>277</v>
      </c>
      <c r="AA61" s="60" t="s">
        <v>219</v>
      </c>
      <c r="AB61" s="60" t="s">
        <v>1046</v>
      </c>
      <c r="AC61" s="60" t="s">
        <v>1047</v>
      </c>
      <c r="AD61" s="60" t="s">
        <v>197</v>
      </c>
      <c r="AE61" s="60" t="s">
        <v>198</v>
      </c>
      <c r="AF61" s="60" t="s">
        <v>241</v>
      </c>
      <c r="AG61" s="60" t="s">
        <v>198</v>
      </c>
      <c r="AH61" s="60" t="s">
        <v>122</v>
      </c>
    </row>
    <row r="62" customFormat="false" ht="115.5" hidden="false" customHeight="true" outlineLevel="0" collapsed="false">
      <c r="A62" s="60" t="n">
        <v>61</v>
      </c>
      <c r="B62" s="60" t="s">
        <v>1048</v>
      </c>
      <c r="C62" s="60" t="s">
        <v>1049</v>
      </c>
      <c r="D62" s="60" t="s">
        <v>1050</v>
      </c>
      <c r="E62" s="60" t="s">
        <v>1051</v>
      </c>
      <c r="F62" s="60" t="s">
        <v>198</v>
      </c>
      <c r="G62" s="60" t="s">
        <v>1052</v>
      </c>
      <c r="H62" s="60" t="s">
        <v>1053</v>
      </c>
      <c r="I62" s="60" t="s">
        <v>249</v>
      </c>
      <c r="J62" s="60" t="s">
        <v>1054</v>
      </c>
      <c r="K62" s="60" t="s">
        <v>181</v>
      </c>
      <c r="L62" s="60" t="s">
        <v>1055</v>
      </c>
      <c r="M62" s="60" t="s">
        <v>187</v>
      </c>
      <c r="N62" s="60" t="s">
        <v>184</v>
      </c>
      <c r="O62" s="60" t="s">
        <v>1056</v>
      </c>
      <c r="P62" s="60" t="s">
        <v>1057</v>
      </c>
      <c r="Q62" s="60" t="s">
        <v>187</v>
      </c>
      <c r="R62" s="60" t="s">
        <v>187</v>
      </c>
      <c r="S62" s="60" t="s">
        <v>187</v>
      </c>
      <c r="T62" s="60" t="s">
        <v>184</v>
      </c>
      <c r="U62" s="60" t="s">
        <v>187</v>
      </c>
      <c r="V62" s="60" t="s">
        <v>187</v>
      </c>
      <c r="W62" s="60" t="s">
        <v>187</v>
      </c>
      <c r="X62" s="60" t="s">
        <v>217</v>
      </c>
      <c r="Y62" s="60" t="s">
        <v>1058</v>
      </c>
      <c r="Z62" s="60" t="s">
        <v>277</v>
      </c>
      <c r="AA62" s="60" t="s">
        <v>219</v>
      </c>
      <c r="AB62" s="60" t="s">
        <v>1059</v>
      </c>
      <c r="AC62" s="60" t="s">
        <v>1060</v>
      </c>
      <c r="AD62" s="60" t="s">
        <v>197</v>
      </c>
      <c r="AE62" s="60" t="s">
        <v>198</v>
      </c>
      <c r="AF62" s="60" t="s">
        <v>241</v>
      </c>
      <c r="AG62" s="60" t="s">
        <v>198</v>
      </c>
      <c r="AH62" s="60" t="s">
        <v>1061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4" min="2" style="56" width="14"/>
  </cols>
  <sheetData>
    <row r="1" customFormat="false" ht="39" hidden="false" customHeight="true" outlineLevel="0" collapsed="false">
      <c r="A1" s="59" t="s">
        <v>138</v>
      </c>
      <c r="B1" s="59" t="s">
        <v>90</v>
      </c>
      <c r="C1" s="59" t="s">
        <v>93</v>
      </c>
      <c r="D1" s="59" t="s">
        <v>95</v>
      </c>
      <c r="E1" s="59" t="s">
        <v>97</v>
      </c>
      <c r="F1" s="59" t="s">
        <v>99</v>
      </c>
      <c r="G1" s="59" t="s">
        <v>101</v>
      </c>
      <c r="H1" s="59" t="s">
        <v>104</v>
      </c>
      <c r="I1" s="59" t="s">
        <v>106</v>
      </c>
      <c r="J1" s="59" t="s">
        <v>108</v>
      </c>
      <c r="K1" s="59" t="s">
        <v>110</v>
      </c>
      <c r="L1" s="59" t="s">
        <v>112</v>
      </c>
      <c r="M1" s="59" t="s">
        <v>114</v>
      </c>
      <c r="N1" s="59" t="s">
        <v>116</v>
      </c>
      <c r="O1" s="59" t="s">
        <v>118</v>
      </c>
      <c r="P1" s="59" t="s">
        <v>120</v>
      </c>
      <c r="Q1" s="59" t="s">
        <v>122</v>
      </c>
      <c r="R1" s="59" t="s">
        <v>124</v>
      </c>
      <c r="S1" s="59" t="s">
        <v>126</v>
      </c>
      <c r="T1" s="59" t="s">
        <v>128</v>
      </c>
      <c r="U1" s="59" t="s">
        <v>130</v>
      </c>
      <c r="V1" s="59" t="s">
        <v>132</v>
      </c>
      <c r="W1" s="59" t="s">
        <v>134</v>
      </c>
      <c r="X1" s="59" t="s">
        <v>136</v>
      </c>
    </row>
    <row r="2" customFormat="false" ht="15" hidden="false" customHeight="true" outlineLevel="0" collapsed="false">
      <c r="A2" s="60" t="n">
        <f aca="false">Master_Dataset!A2</f>
        <v>1</v>
      </c>
      <c r="B2" s="60" t="n">
        <f aca="false">IF(ISNUMBER(SEARCH("|LOVE_ROMANCE|","|"&amp;Master_Dataset!$AH2&amp;"|")),1,0)</f>
        <v>0</v>
      </c>
      <c r="C2" s="60" t="n">
        <f aca="false">IF(ISNUMBER(SEARCH("|SEPARATION_LOSS|","|"&amp;Master_Dataset!$AH2&amp;"|")),1,0)</f>
        <v>0</v>
      </c>
      <c r="D2" s="60" t="n">
        <f aca="false">IF(ISNUMBER(SEARCH("|FAMILY|","|"&amp;Master_Dataset!$AH2&amp;"|")),1,0)</f>
        <v>0</v>
      </c>
      <c r="E2" s="60" t="n">
        <f aca="false">IF(ISNUMBER(SEARCH("|MONEY_MATERIALISM|","|"&amp;Master_Dataset!$AH2&amp;"|")),1,0)</f>
        <v>1</v>
      </c>
      <c r="F2" s="60" t="n">
        <f aca="false">IF(ISNUMBER(SEARCH("|CLASS_INEQUALITY_CRITIQUE|","|"&amp;Master_Dataset!$AH2&amp;"|")),1,0)</f>
        <v>0</v>
      </c>
      <c r="G2" s="60" t="n">
        <f aca="false">IF(ISNUMBER(SEARCH("|CONSUMER_STATUS|","|"&amp;Master_Dataset!$AH2&amp;"|")),1,0)</f>
        <v>0</v>
      </c>
      <c r="H2" s="60" t="n">
        <f aca="false">IF(ISNUMBER(SEARCH("|MIGRATION|","|"&amp;Master_Dataset!$AH2&amp;"|")),1,0)</f>
        <v>0</v>
      </c>
      <c r="I2" s="60" t="n">
        <f aca="false">IF(ISNUMBER(SEARCH("|EDUCATION|","|"&amp;Master_Dataset!$AH2&amp;"|")),1,0)</f>
        <v>0</v>
      </c>
      <c r="J2" s="60" t="n">
        <f aca="false">IF(ISNUMBER(SEARCH("|DRIVER_IDENTITY|","|"&amp;Master_Dataset!$AH2&amp;"|")),1,0)</f>
        <v>0</v>
      </c>
      <c r="K2" s="60" t="n">
        <f aca="false">IF(ISNUMBER(SEARCH("|LABOR_DIGNITY|","|"&amp;Master_Dataset!$AH2&amp;"|")),1,0)</f>
        <v>1</v>
      </c>
      <c r="L2" s="60" t="n">
        <f aca="false">IF(ISNUMBER(SEARCH("|FARE_LIVELIHOOD|","|"&amp;Master_Dataset!$AH2&amp;"|")),1,0)</f>
        <v>1</v>
      </c>
      <c r="M2" s="60" t="n">
        <f aca="false">IF(ISNUMBER(SEARCH("|MASCULINITY|","|"&amp;Master_Dataset!$AH2&amp;"|")),1,0)</f>
        <v>0</v>
      </c>
      <c r="N2" s="60" t="n">
        <f aca="false">IF(ISNUMBER(SEARCH("|WOMEN_REPRESENTATION|","|"&amp;Master_Dataset!$AH2&amp;"|")),1,0)</f>
        <v>0</v>
      </c>
      <c r="O2" s="60" t="n">
        <f aca="false">IF(ISNUMBER(SEARCH("|SELF_RESPECT|","|"&amp;Master_Dataset!$AH2&amp;"|")),1,0)</f>
        <v>0</v>
      </c>
      <c r="P2" s="60" t="n">
        <f aca="false">IF(ISNUMBER(SEARCH("|DISTRUST_HYPOCRISY|","|"&amp;Master_Dataset!$AH2&amp;"|")),1,0)</f>
        <v>0</v>
      </c>
      <c r="Q2" s="60" t="n">
        <f aca="false">IF(ISNUMBER(SEARCH("|MORAL_ADVICE|","|"&amp;Master_Dataset!$AH2&amp;"|")),1,0)</f>
        <v>0</v>
      </c>
      <c r="R2" s="60" t="n">
        <f aca="false">IF(ISNUMBER(SEARCH("|HOPE_RESILIENCE|","|"&amp;Master_Dataset!$AH2&amp;"|")),1,0)</f>
        <v>0</v>
      </c>
      <c r="S2" s="60" t="n">
        <f aca="false">IF(ISNUMBER(SEARCH("|RELIGION_FATE|","|"&amp;Master_Dataset!$AH2&amp;"|")),1,0)</f>
        <v>0</v>
      </c>
      <c r="T2" s="60" t="n">
        <f aca="false">IF(ISNUMBER(SEARCH("|MORTALITY_RISK|","|"&amp;Master_Dataset!$AH2&amp;"|")),1,0)</f>
        <v>0</v>
      </c>
      <c r="U2" s="60" t="n">
        <f aca="false">IF(ISNUMBER(SEARCH("|INSTITUTION_CRITIQUE|","|"&amp;Master_Dataset!$AH2&amp;"|")),1,0)</f>
        <v>0</v>
      </c>
      <c r="V2" s="60" t="n">
        <f aca="false">IF(ISNUMBER(SEARCH("|PLACE_IDENTITY|","|"&amp;Master_Dataset!$AH2&amp;"|")),1,0)</f>
        <v>0</v>
      </c>
      <c r="W2" s="60" t="n">
        <f aca="false">IF(ISNUMBER(SEARCH("|HUMOR|","|"&amp;Master_Dataset!$AH2&amp;"|")),1,0)</f>
        <v>0</v>
      </c>
      <c r="X2" s="60" t="n">
        <f aca="false">IF(ISNUMBER(SEARCH("|CODE_MIXING_SLANG|","|"&amp;Master_Dataset!$AH2&amp;"|")),1,0)</f>
        <v>0</v>
      </c>
    </row>
    <row r="3" customFormat="false" ht="15" hidden="false" customHeight="true" outlineLevel="0" collapsed="false">
      <c r="A3" s="60" t="n">
        <f aca="false">Master_Dataset!A3</f>
        <v>2</v>
      </c>
      <c r="B3" s="60" t="n">
        <f aca="false">IF(ISNUMBER(SEARCH("|LOVE_ROMANCE|","|"&amp;Master_Dataset!$AH3&amp;"|")),1,0)</f>
        <v>0</v>
      </c>
      <c r="C3" s="60" t="n">
        <f aca="false">IF(ISNUMBER(SEARCH("|SEPARATION_LOSS|","|"&amp;Master_Dataset!$AH3&amp;"|")),1,0)</f>
        <v>0</v>
      </c>
      <c r="D3" s="60" t="n">
        <f aca="false">IF(ISNUMBER(SEARCH("|FAMILY|","|"&amp;Master_Dataset!$AH3&amp;"|")),1,0)</f>
        <v>1</v>
      </c>
      <c r="E3" s="60" t="n">
        <f aca="false">IF(ISNUMBER(SEARCH("|MONEY_MATERIALISM|","|"&amp;Master_Dataset!$AH3&amp;"|")),1,0)</f>
        <v>1</v>
      </c>
      <c r="F3" s="60" t="n">
        <f aca="false">IF(ISNUMBER(SEARCH("|CLASS_INEQUALITY_CRITIQUE|","|"&amp;Master_Dataset!$AH3&amp;"|")),1,0)</f>
        <v>0</v>
      </c>
      <c r="G3" s="60" t="n">
        <f aca="false">IF(ISNUMBER(SEARCH("|CONSUMER_STATUS|","|"&amp;Master_Dataset!$AH3&amp;"|")),1,0)</f>
        <v>0</v>
      </c>
      <c r="H3" s="60" t="n">
        <f aca="false">IF(ISNUMBER(SEARCH("|MIGRATION|","|"&amp;Master_Dataset!$AH3&amp;"|")),1,0)</f>
        <v>0</v>
      </c>
      <c r="I3" s="60" t="n">
        <f aca="false">IF(ISNUMBER(SEARCH("|EDUCATION|","|"&amp;Master_Dataset!$AH3&amp;"|")),1,0)</f>
        <v>0</v>
      </c>
      <c r="J3" s="60" t="n">
        <f aca="false">IF(ISNUMBER(SEARCH("|DRIVER_IDENTITY|","|"&amp;Master_Dataset!$AH3&amp;"|")),1,0)</f>
        <v>0</v>
      </c>
      <c r="K3" s="60" t="n">
        <f aca="false">IF(ISNUMBER(SEARCH("|LABOR_DIGNITY|","|"&amp;Master_Dataset!$AH3&amp;"|")),1,0)</f>
        <v>0</v>
      </c>
      <c r="L3" s="60" t="n">
        <f aca="false">IF(ISNUMBER(SEARCH("|FARE_LIVELIHOOD|","|"&amp;Master_Dataset!$AH3&amp;"|")),1,0)</f>
        <v>0</v>
      </c>
      <c r="M3" s="60" t="n">
        <f aca="false">IF(ISNUMBER(SEARCH("|MASCULINITY|","|"&amp;Master_Dataset!$AH3&amp;"|")),1,0)</f>
        <v>1</v>
      </c>
      <c r="N3" s="60" t="n">
        <f aca="false">IF(ISNUMBER(SEARCH("|WOMEN_REPRESENTATION|","|"&amp;Master_Dataset!$AH3&amp;"|")),1,0)</f>
        <v>1</v>
      </c>
      <c r="O3" s="60" t="n">
        <f aca="false">IF(ISNUMBER(SEARCH("|SELF_RESPECT|","|"&amp;Master_Dataset!$AH3&amp;"|")),1,0)</f>
        <v>0</v>
      </c>
      <c r="P3" s="60" t="n">
        <f aca="false">IF(ISNUMBER(SEARCH("|DISTRUST_HYPOCRISY|","|"&amp;Master_Dataset!$AH3&amp;"|")),1,0)</f>
        <v>0</v>
      </c>
      <c r="Q3" s="60" t="n">
        <f aca="false">IF(ISNUMBER(SEARCH("|MORAL_ADVICE|","|"&amp;Master_Dataset!$AH3&amp;"|")),1,0)</f>
        <v>0</v>
      </c>
      <c r="R3" s="60" t="n">
        <f aca="false">IF(ISNUMBER(SEARCH("|HOPE_RESILIENCE|","|"&amp;Master_Dataset!$AH3&amp;"|")),1,0)</f>
        <v>0</v>
      </c>
      <c r="S3" s="60" t="n">
        <f aca="false">IF(ISNUMBER(SEARCH("|RELIGION_FATE|","|"&amp;Master_Dataset!$AH3&amp;"|")),1,0)</f>
        <v>0</v>
      </c>
      <c r="T3" s="60" t="n">
        <f aca="false">IF(ISNUMBER(SEARCH("|MORTALITY_RISK|","|"&amp;Master_Dataset!$AH3&amp;"|")),1,0)</f>
        <v>0</v>
      </c>
      <c r="U3" s="60" t="n">
        <f aca="false">IF(ISNUMBER(SEARCH("|INSTITUTION_CRITIQUE|","|"&amp;Master_Dataset!$AH3&amp;"|")),1,0)</f>
        <v>0</v>
      </c>
      <c r="V3" s="60" t="n">
        <f aca="false">IF(ISNUMBER(SEARCH("|PLACE_IDENTITY|","|"&amp;Master_Dataset!$AH3&amp;"|")),1,0)</f>
        <v>0</v>
      </c>
      <c r="W3" s="60" t="n">
        <f aca="false">IF(ISNUMBER(SEARCH("|HUMOR|","|"&amp;Master_Dataset!$AH3&amp;"|")),1,0)</f>
        <v>0</v>
      </c>
      <c r="X3" s="60" t="n">
        <f aca="false">IF(ISNUMBER(SEARCH("|CODE_MIXING_SLANG|","|"&amp;Master_Dataset!$AH3&amp;"|")),1,0)</f>
        <v>0</v>
      </c>
    </row>
    <row r="4" customFormat="false" ht="15" hidden="false" customHeight="true" outlineLevel="0" collapsed="false">
      <c r="A4" s="60" t="n">
        <f aca="false">Master_Dataset!A4</f>
        <v>3</v>
      </c>
      <c r="B4" s="60" t="n">
        <f aca="false">IF(ISNUMBER(SEARCH("|LOVE_ROMANCE|","|"&amp;Master_Dataset!$AH4&amp;"|")),1,0)</f>
        <v>0</v>
      </c>
      <c r="C4" s="60" t="n">
        <f aca="false">IF(ISNUMBER(SEARCH("|SEPARATION_LOSS|","|"&amp;Master_Dataset!$AH4&amp;"|")),1,0)</f>
        <v>0</v>
      </c>
      <c r="D4" s="60" t="n">
        <f aca="false">IF(ISNUMBER(SEARCH("|FAMILY|","|"&amp;Master_Dataset!$AH4&amp;"|")),1,0)</f>
        <v>0</v>
      </c>
      <c r="E4" s="60" t="n">
        <f aca="false">IF(ISNUMBER(SEARCH("|MONEY_MATERIALISM|","|"&amp;Master_Dataset!$AH4&amp;"|")),1,0)</f>
        <v>1</v>
      </c>
      <c r="F4" s="60" t="n">
        <f aca="false">IF(ISNUMBER(SEARCH("|CLASS_INEQUALITY_CRITIQUE|","|"&amp;Master_Dataset!$AH4&amp;"|")),1,0)</f>
        <v>1</v>
      </c>
      <c r="G4" s="60" t="n">
        <f aca="false">IF(ISNUMBER(SEARCH("|CONSUMER_STATUS|","|"&amp;Master_Dataset!$AH4&amp;"|")),1,0)</f>
        <v>0</v>
      </c>
      <c r="H4" s="60" t="n">
        <f aca="false">IF(ISNUMBER(SEARCH("|MIGRATION|","|"&amp;Master_Dataset!$AH4&amp;"|")),1,0)</f>
        <v>0</v>
      </c>
      <c r="I4" s="60" t="n">
        <f aca="false">IF(ISNUMBER(SEARCH("|EDUCATION|","|"&amp;Master_Dataset!$AH4&amp;"|")),1,0)</f>
        <v>0</v>
      </c>
      <c r="J4" s="60" t="n">
        <f aca="false">IF(ISNUMBER(SEARCH("|DRIVER_IDENTITY|","|"&amp;Master_Dataset!$AH4&amp;"|")),1,0)</f>
        <v>0</v>
      </c>
      <c r="K4" s="60" t="n">
        <f aca="false">IF(ISNUMBER(SEARCH("|LABOR_DIGNITY|","|"&amp;Master_Dataset!$AH4&amp;"|")),1,0)</f>
        <v>0</v>
      </c>
      <c r="L4" s="60" t="n">
        <f aca="false">IF(ISNUMBER(SEARCH("|FARE_LIVELIHOOD|","|"&amp;Master_Dataset!$AH4&amp;"|")),1,0)</f>
        <v>0</v>
      </c>
      <c r="M4" s="60" t="n">
        <f aca="false">IF(ISNUMBER(SEARCH("|MASCULINITY|","|"&amp;Master_Dataset!$AH4&amp;"|")),1,0)</f>
        <v>0</v>
      </c>
      <c r="N4" s="60" t="n">
        <f aca="false">IF(ISNUMBER(SEARCH("|WOMEN_REPRESENTATION|","|"&amp;Master_Dataset!$AH4&amp;"|")),1,0)</f>
        <v>0</v>
      </c>
      <c r="O4" s="60" t="n">
        <f aca="false">IF(ISNUMBER(SEARCH("|SELF_RESPECT|","|"&amp;Master_Dataset!$AH4&amp;"|")),1,0)</f>
        <v>0</v>
      </c>
      <c r="P4" s="60" t="n">
        <f aca="false">IF(ISNUMBER(SEARCH("|DISTRUST_HYPOCRISY|","|"&amp;Master_Dataset!$AH4&amp;"|")),1,0)</f>
        <v>1</v>
      </c>
      <c r="Q4" s="60" t="n">
        <f aca="false">IF(ISNUMBER(SEARCH("|MORAL_ADVICE|","|"&amp;Master_Dataset!$AH4&amp;"|")),1,0)</f>
        <v>0</v>
      </c>
      <c r="R4" s="60" t="n">
        <f aca="false">IF(ISNUMBER(SEARCH("|HOPE_RESILIENCE|","|"&amp;Master_Dataset!$AH4&amp;"|")),1,0)</f>
        <v>0</v>
      </c>
      <c r="S4" s="60" t="n">
        <f aca="false">IF(ISNUMBER(SEARCH("|RELIGION_FATE|","|"&amp;Master_Dataset!$AH4&amp;"|")),1,0)</f>
        <v>0</v>
      </c>
      <c r="T4" s="60" t="n">
        <f aca="false">IF(ISNUMBER(SEARCH("|MORTALITY_RISK|","|"&amp;Master_Dataset!$AH4&amp;"|")),1,0)</f>
        <v>0</v>
      </c>
      <c r="U4" s="60" t="n">
        <f aca="false">IF(ISNUMBER(SEARCH("|INSTITUTION_CRITIQUE|","|"&amp;Master_Dataset!$AH4&amp;"|")),1,0)</f>
        <v>0</v>
      </c>
      <c r="V4" s="60" t="n">
        <f aca="false">IF(ISNUMBER(SEARCH("|PLACE_IDENTITY|","|"&amp;Master_Dataset!$AH4&amp;"|")),1,0)</f>
        <v>0</v>
      </c>
      <c r="W4" s="60" t="n">
        <f aca="false">IF(ISNUMBER(SEARCH("|HUMOR|","|"&amp;Master_Dataset!$AH4&amp;"|")),1,0)</f>
        <v>0</v>
      </c>
      <c r="X4" s="60" t="n">
        <f aca="false">IF(ISNUMBER(SEARCH("|CODE_MIXING_SLANG|","|"&amp;Master_Dataset!$AH4&amp;"|")),1,0)</f>
        <v>0</v>
      </c>
    </row>
    <row r="5" customFormat="false" ht="15" hidden="false" customHeight="true" outlineLevel="0" collapsed="false">
      <c r="A5" s="60" t="n">
        <f aca="false">Master_Dataset!A5</f>
        <v>4</v>
      </c>
      <c r="B5" s="60" t="n">
        <f aca="false">IF(ISNUMBER(SEARCH("|LOVE_ROMANCE|","|"&amp;Master_Dataset!$AH5&amp;"|")),1,0)</f>
        <v>0</v>
      </c>
      <c r="C5" s="60" t="n">
        <f aca="false">IF(ISNUMBER(SEARCH("|SEPARATION_LOSS|","|"&amp;Master_Dataset!$AH5&amp;"|")),1,0)</f>
        <v>0</v>
      </c>
      <c r="D5" s="60" t="n">
        <f aca="false">IF(ISNUMBER(SEARCH("|FAMILY|","|"&amp;Master_Dataset!$AH5&amp;"|")),1,0)</f>
        <v>0</v>
      </c>
      <c r="E5" s="60" t="n">
        <f aca="false">IF(ISNUMBER(SEARCH("|MONEY_MATERIALISM|","|"&amp;Master_Dataset!$AH5&amp;"|")),1,0)</f>
        <v>0</v>
      </c>
      <c r="F5" s="60" t="n">
        <f aca="false">IF(ISNUMBER(SEARCH("|CLASS_INEQUALITY_CRITIQUE|","|"&amp;Master_Dataset!$AH5&amp;"|")),1,0)</f>
        <v>0</v>
      </c>
      <c r="G5" s="60" t="n">
        <f aca="false">IF(ISNUMBER(SEARCH("|CONSUMER_STATUS|","|"&amp;Master_Dataset!$AH5&amp;"|")),1,0)</f>
        <v>0</v>
      </c>
      <c r="H5" s="60" t="n">
        <f aca="false">IF(ISNUMBER(SEARCH("|MIGRATION|","|"&amp;Master_Dataset!$AH5&amp;"|")),1,0)</f>
        <v>0</v>
      </c>
      <c r="I5" s="60" t="n">
        <f aca="false">IF(ISNUMBER(SEARCH("|EDUCATION|","|"&amp;Master_Dataset!$AH5&amp;"|")),1,0)</f>
        <v>0</v>
      </c>
      <c r="J5" s="60" t="n">
        <f aca="false">IF(ISNUMBER(SEARCH("|DRIVER_IDENTITY|","|"&amp;Master_Dataset!$AH5&amp;"|")),1,0)</f>
        <v>0</v>
      </c>
      <c r="K5" s="60" t="n">
        <f aca="false">IF(ISNUMBER(SEARCH("|LABOR_DIGNITY|","|"&amp;Master_Dataset!$AH5&amp;"|")),1,0)</f>
        <v>0</v>
      </c>
      <c r="L5" s="60" t="n">
        <f aca="false">IF(ISNUMBER(SEARCH("|FARE_LIVELIHOOD|","|"&amp;Master_Dataset!$AH5&amp;"|")),1,0)</f>
        <v>0</v>
      </c>
      <c r="M5" s="60" t="n">
        <f aca="false">IF(ISNUMBER(SEARCH("|MASCULINITY|","|"&amp;Master_Dataset!$AH5&amp;"|")),1,0)</f>
        <v>0</v>
      </c>
      <c r="N5" s="60" t="n">
        <f aca="false">IF(ISNUMBER(SEARCH("|WOMEN_REPRESENTATION|","|"&amp;Master_Dataset!$AH5&amp;"|")),1,0)</f>
        <v>0</v>
      </c>
      <c r="O5" s="60" t="n">
        <f aca="false">IF(ISNUMBER(SEARCH("|SELF_RESPECT|","|"&amp;Master_Dataset!$AH5&amp;"|")),1,0)</f>
        <v>0</v>
      </c>
      <c r="P5" s="60" t="n">
        <f aca="false">IF(ISNUMBER(SEARCH("|DISTRUST_HYPOCRISY|","|"&amp;Master_Dataset!$AH5&amp;"|")),1,0)</f>
        <v>0</v>
      </c>
      <c r="Q5" s="60" t="n">
        <f aca="false">IF(ISNUMBER(SEARCH("|MORAL_ADVICE|","|"&amp;Master_Dataset!$AH5&amp;"|")),1,0)</f>
        <v>0</v>
      </c>
      <c r="R5" s="60" t="n">
        <f aca="false">IF(ISNUMBER(SEARCH("|HOPE_RESILIENCE|","|"&amp;Master_Dataset!$AH5&amp;"|")),1,0)</f>
        <v>0</v>
      </c>
      <c r="S5" s="60" t="n">
        <f aca="false">IF(ISNUMBER(SEARCH("|RELIGION_FATE|","|"&amp;Master_Dataset!$AH5&amp;"|")),1,0)</f>
        <v>0</v>
      </c>
      <c r="T5" s="60" t="n">
        <f aca="false">IF(ISNUMBER(SEARCH("|MORTALITY_RISK|","|"&amp;Master_Dataset!$AH5&amp;"|")),1,0)</f>
        <v>1</v>
      </c>
      <c r="U5" s="60" t="n">
        <f aca="false">IF(ISNUMBER(SEARCH("|INSTITUTION_CRITIQUE|","|"&amp;Master_Dataset!$AH5&amp;"|")),1,0)</f>
        <v>0</v>
      </c>
      <c r="V5" s="60" t="n">
        <f aca="false">IF(ISNUMBER(SEARCH("|PLACE_IDENTITY|","|"&amp;Master_Dataset!$AH5&amp;"|")),1,0)</f>
        <v>0</v>
      </c>
      <c r="W5" s="60" t="n">
        <f aca="false">IF(ISNUMBER(SEARCH("|HUMOR|","|"&amp;Master_Dataset!$AH5&amp;"|")),1,0)</f>
        <v>0</v>
      </c>
      <c r="X5" s="60" t="n">
        <f aca="false">IF(ISNUMBER(SEARCH("|CODE_MIXING_SLANG|","|"&amp;Master_Dataset!$AH5&amp;"|")),1,0)</f>
        <v>0</v>
      </c>
    </row>
    <row r="6" customFormat="false" ht="15" hidden="false" customHeight="true" outlineLevel="0" collapsed="false">
      <c r="A6" s="60" t="n">
        <f aca="false">Master_Dataset!A6</f>
        <v>5</v>
      </c>
      <c r="B6" s="60" t="n">
        <f aca="false">IF(ISNUMBER(SEARCH("|LOVE_ROMANCE|","|"&amp;Master_Dataset!$AH6&amp;"|")),1,0)</f>
        <v>0</v>
      </c>
      <c r="C6" s="60" t="n">
        <f aca="false">IF(ISNUMBER(SEARCH("|SEPARATION_LOSS|","|"&amp;Master_Dataset!$AH6&amp;"|")),1,0)</f>
        <v>0</v>
      </c>
      <c r="D6" s="60" t="n">
        <f aca="false">IF(ISNUMBER(SEARCH("|FAMILY|","|"&amp;Master_Dataset!$AH6&amp;"|")),1,0)</f>
        <v>0</v>
      </c>
      <c r="E6" s="60" t="n">
        <f aca="false">IF(ISNUMBER(SEARCH("|MONEY_MATERIALISM|","|"&amp;Master_Dataset!$AH6&amp;"|")),1,0)</f>
        <v>0</v>
      </c>
      <c r="F6" s="60" t="n">
        <f aca="false">IF(ISNUMBER(SEARCH("|CLASS_INEQUALITY_CRITIQUE|","|"&amp;Master_Dataset!$AH6&amp;"|")),1,0)</f>
        <v>0</v>
      </c>
      <c r="G6" s="60" t="n">
        <f aca="false">IF(ISNUMBER(SEARCH("|CONSUMER_STATUS|","|"&amp;Master_Dataset!$AH6&amp;"|")),1,0)</f>
        <v>0</v>
      </c>
      <c r="H6" s="60" t="n">
        <f aca="false">IF(ISNUMBER(SEARCH("|MIGRATION|","|"&amp;Master_Dataset!$AH6&amp;"|")),1,0)</f>
        <v>0</v>
      </c>
      <c r="I6" s="60" t="n">
        <f aca="false">IF(ISNUMBER(SEARCH("|EDUCATION|","|"&amp;Master_Dataset!$AH6&amp;"|")),1,0)</f>
        <v>0</v>
      </c>
      <c r="J6" s="60" t="n">
        <f aca="false">IF(ISNUMBER(SEARCH("|DRIVER_IDENTITY|","|"&amp;Master_Dataset!$AH6&amp;"|")),1,0)</f>
        <v>0</v>
      </c>
      <c r="K6" s="60" t="n">
        <f aca="false">IF(ISNUMBER(SEARCH("|LABOR_DIGNITY|","|"&amp;Master_Dataset!$AH6&amp;"|")),1,0)</f>
        <v>0</v>
      </c>
      <c r="L6" s="60" t="n">
        <f aca="false">IF(ISNUMBER(SEARCH("|FARE_LIVELIHOOD|","|"&amp;Master_Dataset!$AH6&amp;"|")),1,0)</f>
        <v>0</v>
      </c>
      <c r="M6" s="60" t="n">
        <f aca="false">IF(ISNUMBER(SEARCH("|MASCULINITY|","|"&amp;Master_Dataset!$AH6&amp;"|")),1,0)</f>
        <v>0</v>
      </c>
      <c r="N6" s="60" t="n">
        <f aca="false">IF(ISNUMBER(SEARCH("|WOMEN_REPRESENTATION|","|"&amp;Master_Dataset!$AH6&amp;"|")),1,0)</f>
        <v>0</v>
      </c>
      <c r="O6" s="60" t="n">
        <f aca="false">IF(ISNUMBER(SEARCH("|SELF_RESPECT|","|"&amp;Master_Dataset!$AH6&amp;"|")),1,0)</f>
        <v>0</v>
      </c>
      <c r="P6" s="60" t="n">
        <f aca="false">IF(ISNUMBER(SEARCH("|DISTRUST_HYPOCRISY|","|"&amp;Master_Dataset!$AH6&amp;"|")),1,0)</f>
        <v>0</v>
      </c>
      <c r="Q6" s="60" t="n">
        <f aca="false">IF(ISNUMBER(SEARCH("|MORAL_ADVICE|","|"&amp;Master_Dataset!$AH6&amp;"|")),1,0)</f>
        <v>0</v>
      </c>
      <c r="R6" s="60" t="n">
        <f aca="false">IF(ISNUMBER(SEARCH("|HOPE_RESILIENCE|","|"&amp;Master_Dataset!$AH6&amp;"|")),1,0)</f>
        <v>0</v>
      </c>
      <c r="S6" s="60" t="n">
        <f aca="false">IF(ISNUMBER(SEARCH("|RELIGION_FATE|","|"&amp;Master_Dataset!$AH6&amp;"|")),1,0)</f>
        <v>0</v>
      </c>
      <c r="T6" s="60" t="n">
        <f aca="false">IF(ISNUMBER(SEARCH("|MORTALITY_RISK|","|"&amp;Master_Dataset!$AH6&amp;"|")),1,0)</f>
        <v>0</v>
      </c>
      <c r="U6" s="60" t="n">
        <f aca="false">IF(ISNUMBER(SEARCH("|INSTITUTION_CRITIQUE|","|"&amp;Master_Dataset!$AH6&amp;"|")),1,0)</f>
        <v>0</v>
      </c>
      <c r="V6" s="60" t="n">
        <f aca="false">IF(ISNUMBER(SEARCH("|PLACE_IDENTITY|","|"&amp;Master_Dataset!$AH6&amp;"|")),1,0)</f>
        <v>0</v>
      </c>
      <c r="W6" s="60" t="n">
        <f aca="false">IF(ISNUMBER(SEARCH("|HUMOR|","|"&amp;Master_Dataset!$AH6&amp;"|")),1,0)</f>
        <v>1</v>
      </c>
      <c r="X6" s="60" t="n">
        <f aca="false">IF(ISNUMBER(SEARCH("|CODE_MIXING_SLANG|","|"&amp;Master_Dataset!$AH6&amp;"|")),1,0)</f>
        <v>1</v>
      </c>
    </row>
    <row r="7" customFormat="false" ht="15" hidden="false" customHeight="true" outlineLevel="0" collapsed="false">
      <c r="A7" s="60" t="n">
        <f aca="false">Master_Dataset!A7</f>
        <v>6</v>
      </c>
      <c r="B7" s="60" t="n">
        <f aca="false">IF(ISNUMBER(SEARCH("|LOVE_ROMANCE|","|"&amp;Master_Dataset!$AH7&amp;"|")),1,0)</f>
        <v>0</v>
      </c>
      <c r="C7" s="60" t="n">
        <f aca="false">IF(ISNUMBER(SEARCH("|SEPARATION_LOSS|","|"&amp;Master_Dataset!$AH7&amp;"|")),1,0)</f>
        <v>0</v>
      </c>
      <c r="D7" s="60" t="n">
        <f aca="false">IF(ISNUMBER(SEARCH("|FAMILY|","|"&amp;Master_Dataset!$AH7&amp;"|")),1,0)</f>
        <v>0</v>
      </c>
      <c r="E7" s="60" t="n">
        <f aca="false">IF(ISNUMBER(SEARCH("|MONEY_MATERIALISM|","|"&amp;Master_Dataset!$AH7&amp;"|")),1,0)</f>
        <v>0</v>
      </c>
      <c r="F7" s="60" t="n">
        <f aca="false">IF(ISNUMBER(SEARCH("|CLASS_INEQUALITY_CRITIQUE|","|"&amp;Master_Dataset!$AH7&amp;"|")),1,0)</f>
        <v>0</v>
      </c>
      <c r="G7" s="60" t="n">
        <f aca="false">IF(ISNUMBER(SEARCH("|CONSUMER_STATUS|","|"&amp;Master_Dataset!$AH7&amp;"|")),1,0)</f>
        <v>0</v>
      </c>
      <c r="H7" s="60" t="n">
        <f aca="false">IF(ISNUMBER(SEARCH("|MIGRATION|","|"&amp;Master_Dataset!$AH7&amp;"|")),1,0)</f>
        <v>0</v>
      </c>
      <c r="I7" s="60" t="n">
        <f aca="false">IF(ISNUMBER(SEARCH("|EDUCATION|","|"&amp;Master_Dataset!$AH7&amp;"|")),1,0)</f>
        <v>0</v>
      </c>
      <c r="J7" s="60" t="n">
        <f aca="false">IF(ISNUMBER(SEARCH("|DRIVER_IDENTITY|","|"&amp;Master_Dataset!$AH7&amp;"|")),1,0)</f>
        <v>0</v>
      </c>
      <c r="K7" s="60" t="n">
        <f aca="false">IF(ISNUMBER(SEARCH("|LABOR_DIGNITY|","|"&amp;Master_Dataset!$AH7&amp;"|")),1,0)</f>
        <v>0</v>
      </c>
      <c r="L7" s="60" t="n">
        <f aca="false">IF(ISNUMBER(SEARCH("|FARE_LIVELIHOOD|","|"&amp;Master_Dataset!$AH7&amp;"|")),1,0)</f>
        <v>0</v>
      </c>
      <c r="M7" s="60" t="n">
        <f aca="false">IF(ISNUMBER(SEARCH("|MASCULINITY|","|"&amp;Master_Dataset!$AH7&amp;"|")),1,0)</f>
        <v>0</v>
      </c>
      <c r="N7" s="60" t="n">
        <f aca="false">IF(ISNUMBER(SEARCH("|WOMEN_REPRESENTATION|","|"&amp;Master_Dataset!$AH7&amp;"|")),1,0)</f>
        <v>0</v>
      </c>
      <c r="O7" s="60" t="n">
        <f aca="false">IF(ISNUMBER(SEARCH("|SELF_RESPECT|","|"&amp;Master_Dataset!$AH7&amp;"|")),1,0)</f>
        <v>0</v>
      </c>
      <c r="P7" s="60" t="n">
        <f aca="false">IF(ISNUMBER(SEARCH("|DISTRUST_HYPOCRISY|","|"&amp;Master_Dataset!$AH7&amp;"|")),1,0)</f>
        <v>1</v>
      </c>
      <c r="Q7" s="60" t="n">
        <f aca="false">IF(ISNUMBER(SEARCH("|MORAL_ADVICE|","|"&amp;Master_Dataset!$AH7&amp;"|")),1,0)</f>
        <v>0</v>
      </c>
      <c r="R7" s="60" t="n">
        <f aca="false">IF(ISNUMBER(SEARCH("|HOPE_RESILIENCE|","|"&amp;Master_Dataset!$AH7&amp;"|")),1,0)</f>
        <v>1</v>
      </c>
      <c r="S7" s="60" t="n">
        <f aca="false">IF(ISNUMBER(SEARCH("|RELIGION_FATE|","|"&amp;Master_Dataset!$AH7&amp;"|")),1,0)</f>
        <v>0</v>
      </c>
      <c r="T7" s="60" t="n">
        <f aca="false">IF(ISNUMBER(SEARCH("|MORTALITY_RISK|","|"&amp;Master_Dataset!$AH7&amp;"|")),1,0)</f>
        <v>0</v>
      </c>
      <c r="U7" s="60" t="n">
        <f aca="false">IF(ISNUMBER(SEARCH("|INSTITUTION_CRITIQUE|","|"&amp;Master_Dataset!$AH7&amp;"|")),1,0)</f>
        <v>0</v>
      </c>
      <c r="V7" s="60" t="n">
        <f aca="false">IF(ISNUMBER(SEARCH("|PLACE_IDENTITY|","|"&amp;Master_Dataset!$AH7&amp;"|")),1,0)</f>
        <v>0</v>
      </c>
      <c r="W7" s="60" t="n">
        <f aca="false">IF(ISNUMBER(SEARCH("|HUMOR|","|"&amp;Master_Dataset!$AH7&amp;"|")),1,0)</f>
        <v>1</v>
      </c>
      <c r="X7" s="60" t="n">
        <f aca="false">IF(ISNUMBER(SEARCH("|CODE_MIXING_SLANG|","|"&amp;Master_Dataset!$AH7&amp;"|")),1,0)</f>
        <v>0</v>
      </c>
    </row>
    <row r="8" customFormat="false" ht="15" hidden="false" customHeight="true" outlineLevel="0" collapsed="false">
      <c r="A8" s="60" t="n">
        <f aca="false">Master_Dataset!A8</f>
        <v>7</v>
      </c>
      <c r="B8" s="60" t="n">
        <f aca="false">IF(ISNUMBER(SEARCH("|LOVE_ROMANCE|","|"&amp;Master_Dataset!$AH8&amp;"|")),1,0)</f>
        <v>1</v>
      </c>
      <c r="C8" s="60" t="n">
        <f aca="false">IF(ISNUMBER(SEARCH("|SEPARATION_LOSS|","|"&amp;Master_Dataset!$AH8&amp;"|")),1,0)</f>
        <v>0</v>
      </c>
      <c r="D8" s="60" t="n">
        <f aca="false">IF(ISNUMBER(SEARCH("|FAMILY|","|"&amp;Master_Dataset!$AH8&amp;"|")),1,0)</f>
        <v>0</v>
      </c>
      <c r="E8" s="60" t="n">
        <f aca="false">IF(ISNUMBER(SEARCH("|MONEY_MATERIALISM|","|"&amp;Master_Dataset!$AH8&amp;"|")),1,0)</f>
        <v>0</v>
      </c>
      <c r="F8" s="60" t="n">
        <f aca="false">IF(ISNUMBER(SEARCH("|CLASS_INEQUALITY_CRITIQUE|","|"&amp;Master_Dataset!$AH8&amp;"|")),1,0)</f>
        <v>0</v>
      </c>
      <c r="G8" s="60" t="n">
        <f aca="false">IF(ISNUMBER(SEARCH("|CONSUMER_STATUS|","|"&amp;Master_Dataset!$AH8&amp;"|")),1,0)</f>
        <v>0</v>
      </c>
      <c r="H8" s="60" t="n">
        <f aca="false">IF(ISNUMBER(SEARCH("|MIGRATION|","|"&amp;Master_Dataset!$AH8&amp;"|")),1,0)</f>
        <v>0</v>
      </c>
      <c r="I8" s="60" t="n">
        <f aca="false">IF(ISNUMBER(SEARCH("|EDUCATION|","|"&amp;Master_Dataset!$AH8&amp;"|")),1,0)</f>
        <v>0</v>
      </c>
      <c r="J8" s="60" t="n">
        <f aca="false">IF(ISNUMBER(SEARCH("|DRIVER_IDENTITY|","|"&amp;Master_Dataset!$AH8&amp;"|")),1,0)</f>
        <v>1</v>
      </c>
      <c r="K8" s="60" t="n">
        <f aca="false">IF(ISNUMBER(SEARCH("|LABOR_DIGNITY|","|"&amp;Master_Dataset!$AH8&amp;"|")),1,0)</f>
        <v>0</v>
      </c>
      <c r="L8" s="60" t="n">
        <f aca="false">IF(ISNUMBER(SEARCH("|FARE_LIVELIHOOD|","|"&amp;Master_Dataset!$AH8&amp;"|")),1,0)</f>
        <v>0</v>
      </c>
      <c r="M8" s="60" t="n">
        <f aca="false">IF(ISNUMBER(SEARCH("|MASCULINITY|","|"&amp;Master_Dataset!$AH8&amp;"|")),1,0)</f>
        <v>1</v>
      </c>
      <c r="N8" s="60" t="n">
        <f aca="false">IF(ISNUMBER(SEARCH("|WOMEN_REPRESENTATION|","|"&amp;Master_Dataset!$AH8&amp;"|")),1,0)</f>
        <v>0</v>
      </c>
      <c r="O8" s="60" t="n">
        <f aca="false">IF(ISNUMBER(SEARCH("|SELF_RESPECT|","|"&amp;Master_Dataset!$AH8&amp;"|")),1,0)</f>
        <v>0</v>
      </c>
      <c r="P8" s="60" t="n">
        <f aca="false">IF(ISNUMBER(SEARCH("|DISTRUST_HYPOCRISY|","|"&amp;Master_Dataset!$AH8&amp;"|")),1,0)</f>
        <v>0</v>
      </c>
      <c r="Q8" s="60" t="n">
        <f aca="false">IF(ISNUMBER(SEARCH("|MORAL_ADVICE|","|"&amp;Master_Dataset!$AH8&amp;"|")),1,0)</f>
        <v>0</v>
      </c>
      <c r="R8" s="60" t="n">
        <f aca="false">IF(ISNUMBER(SEARCH("|HOPE_RESILIENCE|","|"&amp;Master_Dataset!$AH8&amp;"|")),1,0)</f>
        <v>0</v>
      </c>
      <c r="S8" s="60" t="n">
        <f aca="false">IF(ISNUMBER(SEARCH("|RELIGION_FATE|","|"&amp;Master_Dataset!$AH8&amp;"|")),1,0)</f>
        <v>0</v>
      </c>
      <c r="T8" s="60" t="n">
        <f aca="false">IF(ISNUMBER(SEARCH("|MORTALITY_RISK|","|"&amp;Master_Dataset!$AH8&amp;"|")),1,0)</f>
        <v>0</v>
      </c>
      <c r="U8" s="60" t="n">
        <f aca="false">IF(ISNUMBER(SEARCH("|INSTITUTION_CRITIQUE|","|"&amp;Master_Dataset!$AH8&amp;"|")),1,0)</f>
        <v>0</v>
      </c>
      <c r="V8" s="60" t="n">
        <f aca="false">IF(ISNUMBER(SEARCH("|PLACE_IDENTITY|","|"&amp;Master_Dataset!$AH8&amp;"|")),1,0)</f>
        <v>0</v>
      </c>
      <c r="W8" s="60" t="n">
        <f aca="false">IF(ISNUMBER(SEARCH("|HUMOR|","|"&amp;Master_Dataset!$AH8&amp;"|")),1,0)</f>
        <v>1</v>
      </c>
      <c r="X8" s="60" t="n">
        <f aca="false">IF(ISNUMBER(SEARCH("|CODE_MIXING_SLANG|","|"&amp;Master_Dataset!$AH8&amp;"|")),1,0)</f>
        <v>0</v>
      </c>
    </row>
    <row r="9" customFormat="false" ht="15" hidden="false" customHeight="true" outlineLevel="0" collapsed="false">
      <c r="A9" s="60" t="n">
        <f aca="false">Master_Dataset!A9</f>
        <v>8</v>
      </c>
      <c r="B9" s="60" t="n">
        <f aca="false">IF(ISNUMBER(SEARCH("|LOVE_ROMANCE|","|"&amp;Master_Dataset!$AH9&amp;"|")),1,0)</f>
        <v>0</v>
      </c>
      <c r="C9" s="60" t="n">
        <f aca="false">IF(ISNUMBER(SEARCH("|SEPARATION_LOSS|","|"&amp;Master_Dataset!$AH9&amp;"|")),1,0)</f>
        <v>0</v>
      </c>
      <c r="D9" s="60" t="n">
        <f aca="false">IF(ISNUMBER(SEARCH("|FAMILY|","|"&amp;Master_Dataset!$AH9&amp;"|")),1,0)</f>
        <v>0</v>
      </c>
      <c r="E9" s="60" t="n">
        <f aca="false">IF(ISNUMBER(SEARCH("|MONEY_MATERIALISM|","|"&amp;Master_Dataset!$AH9&amp;"|")),1,0)</f>
        <v>0</v>
      </c>
      <c r="F9" s="60" t="n">
        <f aca="false">IF(ISNUMBER(SEARCH("|CLASS_INEQUALITY_CRITIQUE|","|"&amp;Master_Dataset!$AH9&amp;"|")),1,0)</f>
        <v>0</v>
      </c>
      <c r="G9" s="60" t="n">
        <f aca="false">IF(ISNUMBER(SEARCH("|CONSUMER_STATUS|","|"&amp;Master_Dataset!$AH9&amp;"|")),1,0)</f>
        <v>0</v>
      </c>
      <c r="H9" s="60" t="n">
        <f aca="false">IF(ISNUMBER(SEARCH("|MIGRATION|","|"&amp;Master_Dataset!$AH9&amp;"|")),1,0)</f>
        <v>0</v>
      </c>
      <c r="I9" s="60" t="n">
        <f aca="false">IF(ISNUMBER(SEARCH("|EDUCATION|","|"&amp;Master_Dataset!$AH9&amp;"|")),1,0)</f>
        <v>0</v>
      </c>
      <c r="J9" s="60" t="n">
        <f aca="false">IF(ISNUMBER(SEARCH("|DRIVER_IDENTITY|","|"&amp;Master_Dataset!$AH9&amp;"|")),1,0)</f>
        <v>0</v>
      </c>
      <c r="K9" s="60" t="n">
        <f aca="false">IF(ISNUMBER(SEARCH("|LABOR_DIGNITY|","|"&amp;Master_Dataset!$AH9&amp;"|")),1,0)</f>
        <v>0</v>
      </c>
      <c r="L9" s="60" t="n">
        <f aca="false">IF(ISNUMBER(SEARCH("|FARE_LIVELIHOOD|","|"&amp;Master_Dataset!$AH9&amp;"|")),1,0)</f>
        <v>0</v>
      </c>
      <c r="M9" s="60" t="n">
        <f aca="false">IF(ISNUMBER(SEARCH("|MASCULINITY|","|"&amp;Master_Dataset!$AH9&amp;"|")),1,0)</f>
        <v>0</v>
      </c>
      <c r="N9" s="60" t="n">
        <f aca="false">IF(ISNUMBER(SEARCH("|WOMEN_REPRESENTATION|","|"&amp;Master_Dataset!$AH9&amp;"|")),1,0)</f>
        <v>0</v>
      </c>
      <c r="O9" s="60" t="n">
        <f aca="false">IF(ISNUMBER(SEARCH("|SELF_RESPECT|","|"&amp;Master_Dataset!$AH9&amp;"|")),1,0)</f>
        <v>0</v>
      </c>
      <c r="P9" s="60" t="n">
        <f aca="false">IF(ISNUMBER(SEARCH("|DISTRUST_HYPOCRISY|","|"&amp;Master_Dataset!$AH9&amp;"|")),1,0)</f>
        <v>0</v>
      </c>
      <c r="Q9" s="60" t="n">
        <f aca="false">IF(ISNUMBER(SEARCH("|MORAL_ADVICE|","|"&amp;Master_Dataset!$AH9&amp;"|")),1,0)</f>
        <v>1</v>
      </c>
      <c r="R9" s="60" t="n">
        <f aca="false">IF(ISNUMBER(SEARCH("|HOPE_RESILIENCE|","|"&amp;Master_Dataset!$AH9&amp;"|")),1,0)</f>
        <v>0</v>
      </c>
      <c r="S9" s="60" t="n">
        <f aca="false">IF(ISNUMBER(SEARCH("|RELIGION_FATE|","|"&amp;Master_Dataset!$AH9&amp;"|")),1,0)</f>
        <v>1</v>
      </c>
      <c r="T9" s="60" t="n">
        <f aca="false">IF(ISNUMBER(SEARCH("|MORTALITY_RISK|","|"&amp;Master_Dataset!$AH9&amp;"|")),1,0)</f>
        <v>0</v>
      </c>
      <c r="U9" s="60" t="n">
        <f aca="false">IF(ISNUMBER(SEARCH("|INSTITUTION_CRITIQUE|","|"&amp;Master_Dataset!$AH9&amp;"|")),1,0)</f>
        <v>0</v>
      </c>
      <c r="V9" s="60" t="n">
        <f aca="false">IF(ISNUMBER(SEARCH("|PLACE_IDENTITY|","|"&amp;Master_Dataset!$AH9&amp;"|")),1,0)</f>
        <v>0</v>
      </c>
      <c r="W9" s="60" t="n">
        <f aca="false">IF(ISNUMBER(SEARCH("|HUMOR|","|"&amp;Master_Dataset!$AH9&amp;"|")),1,0)</f>
        <v>0</v>
      </c>
      <c r="X9" s="60" t="n">
        <f aca="false">IF(ISNUMBER(SEARCH("|CODE_MIXING_SLANG|","|"&amp;Master_Dataset!$AH9&amp;"|")),1,0)</f>
        <v>0</v>
      </c>
    </row>
    <row r="10" customFormat="false" ht="15" hidden="false" customHeight="true" outlineLevel="0" collapsed="false">
      <c r="A10" s="60" t="n">
        <f aca="false">Master_Dataset!A10</f>
        <v>9</v>
      </c>
      <c r="B10" s="60" t="n">
        <f aca="false">IF(ISNUMBER(SEARCH("|LOVE_ROMANCE|","|"&amp;Master_Dataset!$AH10&amp;"|")),1,0)</f>
        <v>0</v>
      </c>
      <c r="C10" s="60" t="n">
        <f aca="false">IF(ISNUMBER(SEARCH("|SEPARATION_LOSS|","|"&amp;Master_Dataset!$AH10&amp;"|")),1,0)</f>
        <v>0</v>
      </c>
      <c r="D10" s="60" t="n">
        <f aca="false">IF(ISNUMBER(SEARCH("|FAMILY|","|"&amp;Master_Dataset!$AH10&amp;"|")),1,0)</f>
        <v>0</v>
      </c>
      <c r="E10" s="60" t="n">
        <f aca="false">IF(ISNUMBER(SEARCH("|MONEY_MATERIALISM|","|"&amp;Master_Dataset!$AH10&amp;"|")),1,0)</f>
        <v>0</v>
      </c>
      <c r="F10" s="60" t="n">
        <f aca="false">IF(ISNUMBER(SEARCH("|CLASS_INEQUALITY_CRITIQUE|","|"&amp;Master_Dataset!$AH10&amp;"|")),1,0)</f>
        <v>0</v>
      </c>
      <c r="G10" s="60" t="n">
        <f aca="false">IF(ISNUMBER(SEARCH("|CONSUMER_STATUS|","|"&amp;Master_Dataset!$AH10&amp;"|")),1,0)</f>
        <v>0</v>
      </c>
      <c r="H10" s="60" t="n">
        <f aca="false">IF(ISNUMBER(SEARCH("|MIGRATION|","|"&amp;Master_Dataset!$AH10&amp;"|")),1,0)</f>
        <v>0</v>
      </c>
      <c r="I10" s="60" t="n">
        <f aca="false">IF(ISNUMBER(SEARCH("|EDUCATION|","|"&amp;Master_Dataset!$AH10&amp;"|")),1,0)</f>
        <v>0</v>
      </c>
      <c r="J10" s="60" t="n">
        <f aca="false">IF(ISNUMBER(SEARCH("|DRIVER_IDENTITY|","|"&amp;Master_Dataset!$AH10&amp;"|")),1,0)</f>
        <v>0</v>
      </c>
      <c r="K10" s="60" t="n">
        <f aca="false">IF(ISNUMBER(SEARCH("|LABOR_DIGNITY|","|"&amp;Master_Dataset!$AH10&amp;"|")),1,0)</f>
        <v>0</v>
      </c>
      <c r="L10" s="60" t="n">
        <f aca="false">IF(ISNUMBER(SEARCH("|FARE_LIVELIHOOD|","|"&amp;Master_Dataset!$AH10&amp;"|")),1,0)</f>
        <v>0</v>
      </c>
      <c r="M10" s="60" t="n">
        <f aca="false">IF(ISNUMBER(SEARCH("|MASCULINITY|","|"&amp;Master_Dataset!$AH10&amp;"|")),1,0)</f>
        <v>0</v>
      </c>
      <c r="N10" s="60" t="n">
        <f aca="false">IF(ISNUMBER(SEARCH("|WOMEN_REPRESENTATION|","|"&amp;Master_Dataset!$AH10&amp;"|")),1,0)</f>
        <v>0</v>
      </c>
      <c r="O10" s="60" t="n">
        <f aca="false">IF(ISNUMBER(SEARCH("|SELF_RESPECT|","|"&amp;Master_Dataset!$AH10&amp;"|")),1,0)</f>
        <v>0</v>
      </c>
      <c r="P10" s="60" t="n">
        <f aca="false">IF(ISNUMBER(SEARCH("|DISTRUST_HYPOCRISY|","|"&amp;Master_Dataset!$AH10&amp;"|")),1,0)</f>
        <v>0</v>
      </c>
      <c r="Q10" s="60" t="n">
        <f aca="false">IF(ISNUMBER(SEARCH("|MORAL_ADVICE|","|"&amp;Master_Dataset!$AH10&amp;"|")),1,0)</f>
        <v>0</v>
      </c>
      <c r="R10" s="60" t="n">
        <f aca="false">IF(ISNUMBER(SEARCH("|HOPE_RESILIENCE|","|"&amp;Master_Dataset!$AH10&amp;"|")),1,0)</f>
        <v>1</v>
      </c>
      <c r="S10" s="60" t="n">
        <f aca="false">IF(ISNUMBER(SEARCH("|RELIGION_FATE|","|"&amp;Master_Dataset!$AH10&amp;"|")),1,0)</f>
        <v>0</v>
      </c>
      <c r="T10" s="60" t="n">
        <f aca="false">IF(ISNUMBER(SEARCH("|MORTALITY_RISK|","|"&amp;Master_Dataset!$AH10&amp;"|")),1,0)</f>
        <v>0</v>
      </c>
      <c r="U10" s="60" t="n">
        <f aca="false">IF(ISNUMBER(SEARCH("|INSTITUTION_CRITIQUE|","|"&amp;Master_Dataset!$AH10&amp;"|")),1,0)</f>
        <v>0</v>
      </c>
      <c r="V10" s="60" t="n">
        <f aca="false">IF(ISNUMBER(SEARCH("|PLACE_IDENTITY|","|"&amp;Master_Dataset!$AH10&amp;"|")),1,0)</f>
        <v>0</v>
      </c>
      <c r="W10" s="60" t="n">
        <f aca="false">IF(ISNUMBER(SEARCH("|HUMOR|","|"&amp;Master_Dataset!$AH10&amp;"|")),1,0)</f>
        <v>0</v>
      </c>
      <c r="X10" s="60" t="n">
        <f aca="false">IF(ISNUMBER(SEARCH("|CODE_MIXING_SLANG|","|"&amp;Master_Dataset!$AH10&amp;"|")),1,0)</f>
        <v>0</v>
      </c>
    </row>
    <row r="11" customFormat="false" ht="15" hidden="false" customHeight="true" outlineLevel="0" collapsed="false">
      <c r="A11" s="60" t="n">
        <f aca="false">Master_Dataset!A11</f>
        <v>10</v>
      </c>
      <c r="B11" s="60" t="n">
        <f aca="false">IF(ISNUMBER(SEARCH("|LOVE_ROMANCE|","|"&amp;Master_Dataset!$AH11&amp;"|")),1,0)</f>
        <v>1</v>
      </c>
      <c r="C11" s="60" t="n">
        <f aca="false">IF(ISNUMBER(SEARCH("|SEPARATION_LOSS|","|"&amp;Master_Dataset!$AH11&amp;"|")),1,0)</f>
        <v>1</v>
      </c>
      <c r="D11" s="60" t="n">
        <f aca="false">IF(ISNUMBER(SEARCH("|FAMILY|","|"&amp;Master_Dataset!$AH11&amp;"|")),1,0)</f>
        <v>0</v>
      </c>
      <c r="E11" s="60" t="n">
        <f aca="false">IF(ISNUMBER(SEARCH("|MONEY_MATERIALISM|","|"&amp;Master_Dataset!$AH11&amp;"|")),1,0)</f>
        <v>0</v>
      </c>
      <c r="F11" s="60" t="n">
        <f aca="false">IF(ISNUMBER(SEARCH("|CLASS_INEQUALITY_CRITIQUE|","|"&amp;Master_Dataset!$AH11&amp;"|")),1,0)</f>
        <v>0</v>
      </c>
      <c r="G11" s="60" t="n">
        <f aca="false">IF(ISNUMBER(SEARCH("|CONSUMER_STATUS|","|"&amp;Master_Dataset!$AH11&amp;"|")),1,0)</f>
        <v>0</v>
      </c>
      <c r="H11" s="60" t="n">
        <f aca="false">IF(ISNUMBER(SEARCH("|MIGRATION|","|"&amp;Master_Dataset!$AH11&amp;"|")),1,0)</f>
        <v>1</v>
      </c>
      <c r="I11" s="60" t="n">
        <f aca="false">IF(ISNUMBER(SEARCH("|EDUCATION|","|"&amp;Master_Dataset!$AH11&amp;"|")),1,0)</f>
        <v>0</v>
      </c>
      <c r="J11" s="60" t="n">
        <f aca="false">IF(ISNUMBER(SEARCH("|DRIVER_IDENTITY|","|"&amp;Master_Dataset!$AH11&amp;"|")),1,0)</f>
        <v>0</v>
      </c>
      <c r="K11" s="60" t="n">
        <f aca="false">IF(ISNUMBER(SEARCH("|LABOR_DIGNITY|","|"&amp;Master_Dataset!$AH11&amp;"|")),1,0)</f>
        <v>0</v>
      </c>
      <c r="L11" s="60" t="n">
        <f aca="false">IF(ISNUMBER(SEARCH("|FARE_LIVELIHOOD|","|"&amp;Master_Dataset!$AH11&amp;"|")),1,0)</f>
        <v>0</v>
      </c>
      <c r="M11" s="60" t="n">
        <f aca="false">IF(ISNUMBER(SEARCH("|MASCULINITY|","|"&amp;Master_Dataset!$AH11&amp;"|")),1,0)</f>
        <v>0</v>
      </c>
      <c r="N11" s="60" t="n">
        <f aca="false">IF(ISNUMBER(SEARCH("|WOMEN_REPRESENTATION|","|"&amp;Master_Dataset!$AH11&amp;"|")),1,0)</f>
        <v>0</v>
      </c>
      <c r="O11" s="60" t="n">
        <f aca="false">IF(ISNUMBER(SEARCH("|SELF_RESPECT|","|"&amp;Master_Dataset!$AH11&amp;"|")),1,0)</f>
        <v>0</v>
      </c>
      <c r="P11" s="60" t="n">
        <f aca="false">IF(ISNUMBER(SEARCH("|DISTRUST_HYPOCRISY|","|"&amp;Master_Dataset!$AH11&amp;"|")),1,0)</f>
        <v>0</v>
      </c>
      <c r="Q11" s="60" t="n">
        <f aca="false">IF(ISNUMBER(SEARCH("|MORAL_ADVICE|","|"&amp;Master_Dataset!$AH11&amp;"|")),1,0)</f>
        <v>0</v>
      </c>
      <c r="R11" s="60" t="n">
        <f aca="false">IF(ISNUMBER(SEARCH("|HOPE_RESILIENCE|","|"&amp;Master_Dataset!$AH11&amp;"|")),1,0)</f>
        <v>0</v>
      </c>
      <c r="S11" s="60" t="n">
        <f aca="false">IF(ISNUMBER(SEARCH("|RELIGION_FATE|","|"&amp;Master_Dataset!$AH11&amp;"|")),1,0)</f>
        <v>0</v>
      </c>
      <c r="T11" s="60" t="n">
        <f aca="false">IF(ISNUMBER(SEARCH("|MORTALITY_RISK|","|"&amp;Master_Dataset!$AH11&amp;"|")),1,0)</f>
        <v>0</v>
      </c>
      <c r="U11" s="60" t="n">
        <f aca="false">IF(ISNUMBER(SEARCH("|INSTITUTION_CRITIQUE|","|"&amp;Master_Dataset!$AH11&amp;"|")),1,0)</f>
        <v>0</v>
      </c>
      <c r="V11" s="60" t="n">
        <f aca="false">IF(ISNUMBER(SEARCH("|PLACE_IDENTITY|","|"&amp;Master_Dataset!$AH11&amp;"|")),1,0)</f>
        <v>0</v>
      </c>
      <c r="W11" s="60" t="n">
        <f aca="false">IF(ISNUMBER(SEARCH("|HUMOR|","|"&amp;Master_Dataset!$AH11&amp;"|")),1,0)</f>
        <v>0</v>
      </c>
      <c r="X11" s="60" t="n">
        <f aca="false">IF(ISNUMBER(SEARCH("|CODE_MIXING_SLANG|","|"&amp;Master_Dataset!$AH11&amp;"|")),1,0)</f>
        <v>0</v>
      </c>
    </row>
    <row r="12" customFormat="false" ht="15" hidden="false" customHeight="true" outlineLevel="0" collapsed="false">
      <c r="A12" s="60" t="n">
        <f aca="false">Master_Dataset!A12</f>
        <v>11</v>
      </c>
      <c r="B12" s="60" t="n">
        <f aca="false">IF(ISNUMBER(SEARCH("|LOVE_ROMANCE|","|"&amp;Master_Dataset!$AH12&amp;"|")),1,0)</f>
        <v>1</v>
      </c>
      <c r="C12" s="60" t="n">
        <f aca="false">IF(ISNUMBER(SEARCH("|SEPARATION_LOSS|","|"&amp;Master_Dataset!$AH12&amp;"|")),1,0)</f>
        <v>1</v>
      </c>
      <c r="D12" s="60" t="n">
        <f aca="false">IF(ISNUMBER(SEARCH("|FAMILY|","|"&amp;Master_Dataset!$AH12&amp;"|")),1,0)</f>
        <v>0</v>
      </c>
      <c r="E12" s="60" t="n">
        <f aca="false">IF(ISNUMBER(SEARCH("|MONEY_MATERIALISM|","|"&amp;Master_Dataset!$AH12&amp;"|")),1,0)</f>
        <v>1</v>
      </c>
      <c r="F12" s="60" t="n">
        <f aca="false">IF(ISNUMBER(SEARCH("|CLASS_INEQUALITY_CRITIQUE|","|"&amp;Master_Dataset!$AH12&amp;"|")),1,0)</f>
        <v>0</v>
      </c>
      <c r="G12" s="60" t="n">
        <f aca="false">IF(ISNUMBER(SEARCH("|CONSUMER_STATUS|","|"&amp;Master_Dataset!$AH12&amp;"|")),1,0)</f>
        <v>1</v>
      </c>
      <c r="H12" s="60" t="n">
        <f aca="false">IF(ISNUMBER(SEARCH("|MIGRATION|","|"&amp;Master_Dataset!$AH12&amp;"|")),1,0)</f>
        <v>0</v>
      </c>
      <c r="I12" s="60" t="n">
        <f aca="false">IF(ISNUMBER(SEARCH("|EDUCATION|","|"&amp;Master_Dataset!$AH12&amp;"|")),1,0)</f>
        <v>0</v>
      </c>
      <c r="J12" s="60" t="n">
        <f aca="false">IF(ISNUMBER(SEARCH("|DRIVER_IDENTITY|","|"&amp;Master_Dataset!$AH12&amp;"|")),1,0)</f>
        <v>0</v>
      </c>
      <c r="K12" s="60" t="n">
        <f aca="false">IF(ISNUMBER(SEARCH("|LABOR_DIGNITY|","|"&amp;Master_Dataset!$AH12&amp;"|")),1,0)</f>
        <v>0</v>
      </c>
      <c r="L12" s="60" t="n">
        <f aca="false">IF(ISNUMBER(SEARCH("|FARE_LIVELIHOOD|","|"&amp;Master_Dataset!$AH12&amp;"|")),1,0)</f>
        <v>0</v>
      </c>
      <c r="M12" s="60" t="n">
        <f aca="false">IF(ISNUMBER(SEARCH("|MASCULINITY|","|"&amp;Master_Dataset!$AH12&amp;"|")),1,0)</f>
        <v>0</v>
      </c>
      <c r="N12" s="60" t="n">
        <f aca="false">IF(ISNUMBER(SEARCH("|WOMEN_REPRESENTATION|","|"&amp;Master_Dataset!$AH12&amp;"|")),1,0)</f>
        <v>0</v>
      </c>
      <c r="O12" s="60" t="n">
        <f aca="false">IF(ISNUMBER(SEARCH("|SELF_RESPECT|","|"&amp;Master_Dataset!$AH12&amp;"|")),1,0)</f>
        <v>0</v>
      </c>
      <c r="P12" s="60" t="n">
        <f aca="false">IF(ISNUMBER(SEARCH("|DISTRUST_HYPOCRISY|","|"&amp;Master_Dataset!$AH12&amp;"|")),1,0)</f>
        <v>0</v>
      </c>
      <c r="Q12" s="60" t="n">
        <f aca="false">IF(ISNUMBER(SEARCH("|MORAL_ADVICE|","|"&amp;Master_Dataset!$AH12&amp;"|")),1,0)</f>
        <v>0</v>
      </c>
      <c r="R12" s="60" t="n">
        <f aca="false">IF(ISNUMBER(SEARCH("|HOPE_RESILIENCE|","|"&amp;Master_Dataset!$AH12&amp;"|")),1,0)</f>
        <v>0</v>
      </c>
      <c r="S12" s="60" t="n">
        <f aca="false">IF(ISNUMBER(SEARCH("|RELIGION_FATE|","|"&amp;Master_Dataset!$AH12&amp;"|")),1,0)</f>
        <v>0</v>
      </c>
      <c r="T12" s="60" t="n">
        <f aca="false">IF(ISNUMBER(SEARCH("|MORTALITY_RISK|","|"&amp;Master_Dataset!$AH12&amp;"|")),1,0)</f>
        <v>0</v>
      </c>
      <c r="U12" s="60" t="n">
        <f aca="false">IF(ISNUMBER(SEARCH("|INSTITUTION_CRITIQUE|","|"&amp;Master_Dataset!$AH12&amp;"|")),1,0)</f>
        <v>0</v>
      </c>
      <c r="V12" s="60" t="n">
        <f aca="false">IF(ISNUMBER(SEARCH("|PLACE_IDENTITY|","|"&amp;Master_Dataset!$AH12&amp;"|")),1,0)</f>
        <v>0</v>
      </c>
      <c r="W12" s="60" t="n">
        <f aca="false">IF(ISNUMBER(SEARCH("|HUMOR|","|"&amp;Master_Dataset!$AH12&amp;"|")),1,0)</f>
        <v>0</v>
      </c>
      <c r="X12" s="60" t="n">
        <f aca="false">IF(ISNUMBER(SEARCH("|CODE_MIXING_SLANG|","|"&amp;Master_Dataset!$AH12&amp;"|")),1,0)</f>
        <v>0</v>
      </c>
    </row>
    <row r="13" customFormat="false" ht="15" hidden="false" customHeight="true" outlineLevel="0" collapsed="false">
      <c r="A13" s="60" t="n">
        <f aca="false">Master_Dataset!A13</f>
        <v>12</v>
      </c>
      <c r="B13" s="60" t="n">
        <f aca="false">IF(ISNUMBER(SEARCH("|LOVE_ROMANCE|","|"&amp;Master_Dataset!$AH13&amp;"|")),1,0)</f>
        <v>1</v>
      </c>
      <c r="C13" s="60" t="n">
        <f aca="false">IF(ISNUMBER(SEARCH("|SEPARATION_LOSS|","|"&amp;Master_Dataset!$AH13&amp;"|")),1,0)</f>
        <v>1</v>
      </c>
      <c r="D13" s="60" t="n">
        <f aca="false">IF(ISNUMBER(SEARCH("|FAMILY|","|"&amp;Master_Dataset!$AH13&amp;"|")),1,0)</f>
        <v>0</v>
      </c>
      <c r="E13" s="60" t="n">
        <f aca="false">IF(ISNUMBER(SEARCH("|MONEY_MATERIALISM|","|"&amp;Master_Dataset!$AH13&amp;"|")),1,0)</f>
        <v>0</v>
      </c>
      <c r="F13" s="60" t="n">
        <f aca="false">IF(ISNUMBER(SEARCH("|CLASS_INEQUALITY_CRITIQUE|","|"&amp;Master_Dataset!$AH13&amp;"|")),1,0)</f>
        <v>1</v>
      </c>
      <c r="G13" s="60" t="n">
        <f aca="false">IF(ISNUMBER(SEARCH("|CONSUMER_STATUS|","|"&amp;Master_Dataset!$AH13&amp;"|")),1,0)</f>
        <v>1</v>
      </c>
      <c r="H13" s="60" t="n">
        <f aca="false">IF(ISNUMBER(SEARCH("|MIGRATION|","|"&amp;Master_Dataset!$AH13&amp;"|")),1,0)</f>
        <v>0</v>
      </c>
      <c r="I13" s="60" t="n">
        <f aca="false">IF(ISNUMBER(SEARCH("|EDUCATION|","|"&amp;Master_Dataset!$AH13&amp;"|")),1,0)</f>
        <v>0</v>
      </c>
      <c r="J13" s="60" t="n">
        <f aca="false">IF(ISNUMBER(SEARCH("|DRIVER_IDENTITY|","|"&amp;Master_Dataset!$AH13&amp;"|")),1,0)</f>
        <v>0</v>
      </c>
      <c r="K13" s="60" t="n">
        <f aca="false">IF(ISNUMBER(SEARCH("|LABOR_DIGNITY|","|"&amp;Master_Dataset!$AH13&amp;"|")),1,0)</f>
        <v>0</v>
      </c>
      <c r="L13" s="60" t="n">
        <f aca="false">IF(ISNUMBER(SEARCH("|FARE_LIVELIHOOD|","|"&amp;Master_Dataset!$AH13&amp;"|")),1,0)</f>
        <v>0</v>
      </c>
      <c r="M13" s="60" t="n">
        <f aca="false">IF(ISNUMBER(SEARCH("|MASCULINITY|","|"&amp;Master_Dataset!$AH13&amp;"|")),1,0)</f>
        <v>0</v>
      </c>
      <c r="N13" s="60" t="n">
        <f aca="false">IF(ISNUMBER(SEARCH("|WOMEN_REPRESENTATION|","|"&amp;Master_Dataset!$AH13&amp;"|")),1,0)</f>
        <v>0</v>
      </c>
      <c r="O13" s="60" t="n">
        <f aca="false">IF(ISNUMBER(SEARCH("|SELF_RESPECT|","|"&amp;Master_Dataset!$AH13&amp;"|")),1,0)</f>
        <v>0</v>
      </c>
      <c r="P13" s="60" t="n">
        <f aca="false">IF(ISNUMBER(SEARCH("|DISTRUST_HYPOCRISY|","|"&amp;Master_Dataset!$AH13&amp;"|")),1,0)</f>
        <v>0</v>
      </c>
      <c r="Q13" s="60" t="n">
        <f aca="false">IF(ISNUMBER(SEARCH("|MORAL_ADVICE|","|"&amp;Master_Dataset!$AH13&amp;"|")),1,0)</f>
        <v>0</v>
      </c>
      <c r="R13" s="60" t="n">
        <f aca="false">IF(ISNUMBER(SEARCH("|HOPE_RESILIENCE|","|"&amp;Master_Dataset!$AH13&amp;"|")),1,0)</f>
        <v>0</v>
      </c>
      <c r="S13" s="60" t="n">
        <f aca="false">IF(ISNUMBER(SEARCH("|RELIGION_FATE|","|"&amp;Master_Dataset!$AH13&amp;"|")),1,0)</f>
        <v>0</v>
      </c>
      <c r="T13" s="60" t="n">
        <f aca="false">IF(ISNUMBER(SEARCH("|MORTALITY_RISK|","|"&amp;Master_Dataset!$AH13&amp;"|")),1,0)</f>
        <v>0</v>
      </c>
      <c r="U13" s="60" t="n">
        <f aca="false">IF(ISNUMBER(SEARCH("|INSTITUTION_CRITIQUE|","|"&amp;Master_Dataset!$AH13&amp;"|")),1,0)</f>
        <v>0</v>
      </c>
      <c r="V13" s="60" t="n">
        <f aca="false">IF(ISNUMBER(SEARCH("|PLACE_IDENTITY|","|"&amp;Master_Dataset!$AH13&amp;"|")),1,0)</f>
        <v>0</v>
      </c>
      <c r="W13" s="60" t="n">
        <f aca="false">IF(ISNUMBER(SEARCH("|HUMOR|","|"&amp;Master_Dataset!$AH13&amp;"|")),1,0)</f>
        <v>0</v>
      </c>
      <c r="X13" s="60" t="n">
        <f aca="false">IF(ISNUMBER(SEARCH("|CODE_MIXING_SLANG|","|"&amp;Master_Dataset!$AH13&amp;"|")),1,0)</f>
        <v>0</v>
      </c>
    </row>
    <row r="14" customFormat="false" ht="15" hidden="false" customHeight="true" outlineLevel="0" collapsed="false">
      <c r="A14" s="60" t="n">
        <f aca="false">Master_Dataset!A14</f>
        <v>13</v>
      </c>
      <c r="B14" s="60" t="n">
        <f aca="false">IF(ISNUMBER(SEARCH("|LOVE_ROMANCE|","|"&amp;Master_Dataset!$AH14&amp;"|")),1,0)</f>
        <v>1</v>
      </c>
      <c r="C14" s="60" t="n">
        <f aca="false">IF(ISNUMBER(SEARCH("|SEPARATION_LOSS|","|"&amp;Master_Dataset!$AH14&amp;"|")),1,0)</f>
        <v>0</v>
      </c>
      <c r="D14" s="60" t="n">
        <f aca="false">IF(ISNUMBER(SEARCH("|FAMILY|","|"&amp;Master_Dataset!$AH14&amp;"|")),1,0)</f>
        <v>0</v>
      </c>
      <c r="E14" s="60" t="n">
        <f aca="false">IF(ISNUMBER(SEARCH("|MONEY_MATERIALISM|","|"&amp;Master_Dataset!$AH14&amp;"|")),1,0)</f>
        <v>0</v>
      </c>
      <c r="F14" s="60" t="n">
        <f aca="false">IF(ISNUMBER(SEARCH("|CLASS_INEQUALITY_CRITIQUE|","|"&amp;Master_Dataset!$AH14&amp;"|")),1,0)</f>
        <v>0</v>
      </c>
      <c r="G14" s="60" t="n">
        <f aca="false">IF(ISNUMBER(SEARCH("|CONSUMER_STATUS|","|"&amp;Master_Dataset!$AH14&amp;"|")),1,0)</f>
        <v>0</v>
      </c>
      <c r="H14" s="60" t="n">
        <f aca="false">IF(ISNUMBER(SEARCH("|MIGRATION|","|"&amp;Master_Dataset!$AH14&amp;"|")),1,0)</f>
        <v>0</v>
      </c>
      <c r="I14" s="60" t="n">
        <f aca="false">IF(ISNUMBER(SEARCH("|EDUCATION|","|"&amp;Master_Dataset!$AH14&amp;"|")),1,0)</f>
        <v>0</v>
      </c>
      <c r="J14" s="60" t="n">
        <f aca="false">IF(ISNUMBER(SEARCH("|DRIVER_IDENTITY|","|"&amp;Master_Dataset!$AH14&amp;"|")),1,0)</f>
        <v>0</v>
      </c>
      <c r="K14" s="60" t="n">
        <f aca="false">IF(ISNUMBER(SEARCH("|LABOR_DIGNITY|","|"&amp;Master_Dataset!$AH14&amp;"|")),1,0)</f>
        <v>0</v>
      </c>
      <c r="L14" s="60" t="n">
        <f aca="false">IF(ISNUMBER(SEARCH("|FARE_LIVELIHOOD|","|"&amp;Master_Dataset!$AH14&amp;"|")),1,0)</f>
        <v>0</v>
      </c>
      <c r="M14" s="60" t="n">
        <f aca="false">IF(ISNUMBER(SEARCH("|MASCULINITY|","|"&amp;Master_Dataset!$AH14&amp;"|")),1,0)</f>
        <v>0</v>
      </c>
      <c r="N14" s="60" t="n">
        <f aca="false">IF(ISNUMBER(SEARCH("|WOMEN_REPRESENTATION|","|"&amp;Master_Dataset!$AH14&amp;"|")),1,0)</f>
        <v>1</v>
      </c>
      <c r="O14" s="60" t="n">
        <f aca="false">IF(ISNUMBER(SEARCH("|SELF_RESPECT|","|"&amp;Master_Dataset!$AH14&amp;"|")),1,0)</f>
        <v>0</v>
      </c>
      <c r="P14" s="60" t="n">
        <f aca="false">IF(ISNUMBER(SEARCH("|DISTRUST_HYPOCRISY|","|"&amp;Master_Dataset!$AH14&amp;"|")),1,0)</f>
        <v>0</v>
      </c>
      <c r="Q14" s="60" t="n">
        <f aca="false">IF(ISNUMBER(SEARCH("|MORAL_ADVICE|","|"&amp;Master_Dataset!$AH14&amp;"|")),1,0)</f>
        <v>0</v>
      </c>
      <c r="R14" s="60" t="n">
        <f aca="false">IF(ISNUMBER(SEARCH("|HOPE_RESILIENCE|","|"&amp;Master_Dataset!$AH14&amp;"|")),1,0)</f>
        <v>0</v>
      </c>
      <c r="S14" s="60" t="n">
        <f aca="false">IF(ISNUMBER(SEARCH("|RELIGION_FATE|","|"&amp;Master_Dataset!$AH14&amp;"|")),1,0)</f>
        <v>0</v>
      </c>
      <c r="T14" s="60" t="n">
        <f aca="false">IF(ISNUMBER(SEARCH("|MORTALITY_RISK|","|"&amp;Master_Dataset!$AH14&amp;"|")),1,0)</f>
        <v>0</v>
      </c>
      <c r="U14" s="60" t="n">
        <f aca="false">IF(ISNUMBER(SEARCH("|INSTITUTION_CRITIQUE|","|"&amp;Master_Dataset!$AH14&amp;"|")),1,0)</f>
        <v>0</v>
      </c>
      <c r="V14" s="60" t="n">
        <f aca="false">IF(ISNUMBER(SEARCH("|PLACE_IDENTITY|","|"&amp;Master_Dataset!$AH14&amp;"|")),1,0)</f>
        <v>0</v>
      </c>
      <c r="W14" s="60" t="n">
        <f aca="false">IF(ISNUMBER(SEARCH("|HUMOR|","|"&amp;Master_Dataset!$AH14&amp;"|")),1,0)</f>
        <v>1</v>
      </c>
      <c r="X14" s="60" t="n">
        <f aca="false">IF(ISNUMBER(SEARCH("|CODE_MIXING_SLANG|","|"&amp;Master_Dataset!$AH14&amp;"|")),1,0)</f>
        <v>1</v>
      </c>
    </row>
    <row r="15" customFormat="false" ht="15" hidden="false" customHeight="true" outlineLevel="0" collapsed="false">
      <c r="A15" s="60" t="n">
        <f aca="false">Master_Dataset!A15</f>
        <v>14</v>
      </c>
      <c r="B15" s="60" t="n">
        <f aca="false">IF(ISNUMBER(SEARCH("|LOVE_ROMANCE|","|"&amp;Master_Dataset!$AH15&amp;"|")),1,0)</f>
        <v>0</v>
      </c>
      <c r="C15" s="60" t="n">
        <f aca="false">IF(ISNUMBER(SEARCH("|SEPARATION_LOSS|","|"&amp;Master_Dataset!$AH15&amp;"|")),1,0)</f>
        <v>0</v>
      </c>
      <c r="D15" s="60" t="n">
        <f aca="false">IF(ISNUMBER(SEARCH("|FAMILY|","|"&amp;Master_Dataset!$AH15&amp;"|")),1,0)</f>
        <v>0</v>
      </c>
      <c r="E15" s="60" t="n">
        <f aca="false">IF(ISNUMBER(SEARCH("|MONEY_MATERIALISM|","|"&amp;Master_Dataset!$AH15&amp;"|")),1,0)</f>
        <v>0</v>
      </c>
      <c r="F15" s="60" t="n">
        <f aca="false">IF(ISNUMBER(SEARCH("|CLASS_INEQUALITY_CRITIQUE|","|"&amp;Master_Dataset!$AH15&amp;"|")),1,0)</f>
        <v>0</v>
      </c>
      <c r="G15" s="60" t="n">
        <f aca="false">IF(ISNUMBER(SEARCH("|CONSUMER_STATUS|","|"&amp;Master_Dataset!$AH15&amp;"|")),1,0)</f>
        <v>0</v>
      </c>
      <c r="H15" s="60" t="n">
        <f aca="false">IF(ISNUMBER(SEARCH("|MIGRATION|","|"&amp;Master_Dataset!$AH15&amp;"|")),1,0)</f>
        <v>1</v>
      </c>
      <c r="I15" s="60" t="n">
        <f aca="false">IF(ISNUMBER(SEARCH("|EDUCATION|","|"&amp;Master_Dataset!$AH15&amp;"|")),1,0)</f>
        <v>0</v>
      </c>
      <c r="J15" s="60" t="n">
        <f aca="false">IF(ISNUMBER(SEARCH("|DRIVER_IDENTITY|","|"&amp;Master_Dataset!$AH15&amp;"|")),1,0)</f>
        <v>0</v>
      </c>
      <c r="K15" s="60" t="n">
        <f aca="false">IF(ISNUMBER(SEARCH("|LABOR_DIGNITY|","|"&amp;Master_Dataset!$AH15&amp;"|")),1,0)</f>
        <v>0</v>
      </c>
      <c r="L15" s="60" t="n">
        <f aca="false">IF(ISNUMBER(SEARCH("|FARE_LIVELIHOOD|","|"&amp;Master_Dataset!$AH15&amp;"|")),1,0)</f>
        <v>0</v>
      </c>
      <c r="M15" s="60" t="n">
        <f aca="false">IF(ISNUMBER(SEARCH("|MASCULINITY|","|"&amp;Master_Dataset!$AH15&amp;"|")),1,0)</f>
        <v>0</v>
      </c>
      <c r="N15" s="60" t="n">
        <f aca="false">IF(ISNUMBER(SEARCH("|WOMEN_REPRESENTATION|","|"&amp;Master_Dataset!$AH15&amp;"|")),1,0)</f>
        <v>0</v>
      </c>
      <c r="O15" s="60" t="n">
        <f aca="false">IF(ISNUMBER(SEARCH("|SELF_RESPECT|","|"&amp;Master_Dataset!$AH15&amp;"|")),1,0)</f>
        <v>0</v>
      </c>
      <c r="P15" s="60" t="n">
        <f aca="false">IF(ISNUMBER(SEARCH("|DISTRUST_HYPOCRISY|","|"&amp;Master_Dataset!$AH15&amp;"|")),1,0)</f>
        <v>0</v>
      </c>
      <c r="Q15" s="60" t="n">
        <f aca="false">IF(ISNUMBER(SEARCH("|MORAL_ADVICE|","|"&amp;Master_Dataset!$AH15&amp;"|")),1,0)</f>
        <v>0</v>
      </c>
      <c r="R15" s="60" t="n">
        <f aca="false">IF(ISNUMBER(SEARCH("|HOPE_RESILIENCE|","|"&amp;Master_Dataset!$AH15&amp;"|")),1,0)</f>
        <v>0</v>
      </c>
      <c r="S15" s="60" t="n">
        <f aca="false">IF(ISNUMBER(SEARCH("|RELIGION_FATE|","|"&amp;Master_Dataset!$AH15&amp;"|")),1,0)</f>
        <v>0</v>
      </c>
      <c r="T15" s="60" t="n">
        <f aca="false">IF(ISNUMBER(SEARCH("|MORTALITY_RISK|","|"&amp;Master_Dataset!$AH15&amp;"|")),1,0)</f>
        <v>0</v>
      </c>
      <c r="U15" s="60" t="n">
        <f aca="false">IF(ISNUMBER(SEARCH("|INSTITUTION_CRITIQUE|","|"&amp;Master_Dataset!$AH15&amp;"|")),1,0)</f>
        <v>0</v>
      </c>
      <c r="V15" s="60" t="n">
        <f aca="false">IF(ISNUMBER(SEARCH("|PLACE_IDENTITY|","|"&amp;Master_Dataset!$AH15&amp;"|")),1,0)</f>
        <v>0</v>
      </c>
      <c r="W15" s="60" t="n">
        <f aca="false">IF(ISNUMBER(SEARCH("|HUMOR|","|"&amp;Master_Dataset!$AH15&amp;"|")),1,0)</f>
        <v>1</v>
      </c>
      <c r="X15" s="60" t="n">
        <f aca="false">IF(ISNUMBER(SEARCH("|CODE_MIXING_SLANG|","|"&amp;Master_Dataset!$AH15&amp;"|")),1,0)</f>
        <v>0</v>
      </c>
    </row>
    <row r="16" customFormat="false" ht="15" hidden="false" customHeight="true" outlineLevel="0" collapsed="false">
      <c r="A16" s="60" t="n">
        <f aca="false">Master_Dataset!A16</f>
        <v>15</v>
      </c>
      <c r="B16" s="60" t="n">
        <f aca="false">IF(ISNUMBER(SEARCH("|LOVE_ROMANCE|","|"&amp;Master_Dataset!$AH16&amp;"|")),1,0)</f>
        <v>0</v>
      </c>
      <c r="C16" s="60" t="n">
        <f aca="false">IF(ISNUMBER(SEARCH("|SEPARATION_LOSS|","|"&amp;Master_Dataset!$AH16&amp;"|")),1,0)</f>
        <v>0</v>
      </c>
      <c r="D16" s="60" t="n">
        <f aca="false">IF(ISNUMBER(SEARCH("|FAMILY|","|"&amp;Master_Dataset!$AH16&amp;"|")),1,0)</f>
        <v>0</v>
      </c>
      <c r="E16" s="60" t="n">
        <f aca="false">IF(ISNUMBER(SEARCH("|MONEY_MATERIALISM|","|"&amp;Master_Dataset!$AH16&amp;"|")),1,0)</f>
        <v>0</v>
      </c>
      <c r="F16" s="60" t="n">
        <f aca="false">IF(ISNUMBER(SEARCH("|CLASS_INEQUALITY_CRITIQUE|","|"&amp;Master_Dataset!$AH16&amp;"|")),1,0)</f>
        <v>0</v>
      </c>
      <c r="G16" s="60" t="n">
        <f aca="false">IF(ISNUMBER(SEARCH("|CONSUMER_STATUS|","|"&amp;Master_Dataset!$AH16&amp;"|")),1,0)</f>
        <v>0</v>
      </c>
      <c r="H16" s="60" t="n">
        <f aca="false">IF(ISNUMBER(SEARCH("|MIGRATION|","|"&amp;Master_Dataset!$AH16&amp;"|")),1,0)</f>
        <v>0</v>
      </c>
      <c r="I16" s="60" t="n">
        <f aca="false">IF(ISNUMBER(SEARCH("|EDUCATION|","|"&amp;Master_Dataset!$AH16&amp;"|")),1,0)</f>
        <v>0</v>
      </c>
      <c r="J16" s="60" t="n">
        <f aca="false">IF(ISNUMBER(SEARCH("|DRIVER_IDENTITY|","|"&amp;Master_Dataset!$AH16&amp;"|")),1,0)</f>
        <v>1</v>
      </c>
      <c r="K16" s="60" t="n">
        <f aca="false">IF(ISNUMBER(SEARCH("|LABOR_DIGNITY|","|"&amp;Master_Dataset!$AH16&amp;"|")),1,0)</f>
        <v>0</v>
      </c>
      <c r="L16" s="60" t="n">
        <f aca="false">IF(ISNUMBER(SEARCH("|FARE_LIVELIHOOD|","|"&amp;Master_Dataset!$AH16&amp;"|")),1,0)</f>
        <v>0</v>
      </c>
      <c r="M16" s="60" t="n">
        <f aca="false">IF(ISNUMBER(SEARCH("|MASCULINITY|","|"&amp;Master_Dataset!$AH16&amp;"|")),1,0)</f>
        <v>0</v>
      </c>
      <c r="N16" s="60" t="n">
        <f aca="false">IF(ISNUMBER(SEARCH("|WOMEN_REPRESENTATION|","|"&amp;Master_Dataset!$AH16&amp;"|")),1,0)</f>
        <v>1</v>
      </c>
      <c r="O16" s="60" t="n">
        <f aca="false">IF(ISNUMBER(SEARCH("|SELF_RESPECT|","|"&amp;Master_Dataset!$AH16&amp;"|")),1,0)</f>
        <v>0</v>
      </c>
      <c r="P16" s="60" t="n">
        <f aca="false">IF(ISNUMBER(SEARCH("|DISTRUST_HYPOCRISY|","|"&amp;Master_Dataset!$AH16&amp;"|")),1,0)</f>
        <v>0</v>
      </c>
      <c r="Q16" s="60" t="n">
        <f aca="false">IF(ISNUMBER(SEARCH("|MORAL_ADVICE|","|"&amp;Master_Dataset!$AH16&amp;"|")),1,0)</f>
        <v>0</v>
      </c>
      <c r="R16" s="60" t="n">
        <f aca="false">IF(ISNUMBER(SEARCH("|HOPE_RESILIENCE|","|"&amp;Master_Dataset!$AH16&amp;"|")),1,0)</f>
        <v>0</v>
      </c>
      <c r="S16" s="60" t="n">
        <f aca="false">IF(ISNUMBER(SEARCH("|RELIGION_FATE|","|"&amp;Master_Dataset!$AH16&amp;"|")),1,0)</f>
        <v>0</v>
      </c>
      <c r="T16" s="60" t="n">
        <f aca="false">IF(ISNUMBER(SEARCH("|MORTALITY_RISK|","|"&amp;Master_Dataset!$AH16&amp;"|")),1,0)</f>
        <v>0</v>
      </c>
      <c r="U16" s="60" t="n">
        <f aca="false">IF(ISNUMBER(SEARCH("|INSTITUTION_CRITIQUE|","|"&amp;Master_Dataset!$AH16&amp;"|")),1,0)</f>
        <v>0</v>
      </c>
      <c r="V16" s="60" t="n">
        <f aca="false">IF(ISNUMBER(SEARCH("|PLACE_IDENTITY|","|"&amp;Master_Dataset!$AH16&amp;"|")),1,0)</f>
        <v>1</v>
      </c>
      <c r="W16" s="60" t="n">
        <f aca="false">IF(ISNUMBER(SEARCH("|HUMOR|","|"&amp;Master_Dataset!$AH16&amp;"|")),1,0)</f>
        <v>1</v>
      </c>
      <c r="X16" s="60" t="n">
        <f aca="false">IF(ISNUMBER(SEARCH("|CODE_MIXING_SLANG|","|"&amp;Master_Dataset!$AH16&amp;"|")),1,0)</f>
        <v>0</v>
      </c>
    </row>
    <row r="17" customFormat="false" ht="15" hidden="false" customHeight="true" outlineLevel="0" collapsed="false">
      <c r="A17" s="60" t="n">
        <f aca="false">Master_Dataset!A17</f>
        <v>16</v>
      </c>
      <c r="B17" s="60" t="n">
        <f aca="false">IF(ISNUMBER(SEARCH("|LOVE_ROMANCE|","|"&amp;Master_Dataset!$AH17&amp;"|")),1,0)</f>
        <v>1</v>
      </c>
      <c r="C17" s="60" t="n">
        <f aca="false">IF(ISNUMBER(SEARCH("|SEPARATION_LOSS|","|"&amp;Master_Dataset!$AH17&amp;"|")),1,0)</f>
        <v>1</v>
      </c>
      <c r="D17" s="60" t="n">
        <f aca="false">IF(ISNUMBER(SEARCH("|FAMILY|","|"&amp;Master_Dataset!$AH17&amp;"|")),1,0)</f>
        <v>0</v>
      </c>
      <c r="E17" s="60" t="n">
        <f aca="false">IF(ISNUMBER(SEARCH("|MONEY_MATERIALISM|","|"&amp;Master_Dataset!$AH17&amp;"|")),1,0)</f>
        <v>0</v>
      </c>
      <c r="F17" s="60" t="n">
        <f aca="false">IF(ISNUMBER(SEARCH("|CLASS_INEQUALITY_CRITIQUE|","|"&amp;Master_Dataset!$AH17&amp;"|")),1,0)</f>
        <v>0</v>
      </c>
      <c r="G17" s="60" t="n">
        <f aca="false">IF(ISNUMBER(SEARCH("|CONSUMER_STATUS|","|"&amp;Master_Dataset!$AH17&amp;"|")),1,0)</f>
        <v>0</v>
      </c>
      <c r="H17" s="60" t="n">
        <f aca="false">IF(ISNUMBER(SEARCH("|MIGRATION|","|"&amp;Master_Dataset!$AH17&amp;"|")),1,0)</f>
        <v>0</v>
      </c>
      <c r="I17" s="60" t="n">
        <f aca="false">IF(ISNUMBER(SEARCH("|EDUCATION|","|"&amp;Master_Dataset!$AH17&amp;"|")),1,0)</f>
        <v>0</v>
      </c>
      <c r="J17" s="60" t="n">
        <f aca="false">IF(ISNUMBER(SEARCH("|DRIVER_IDENTITY|","|"&amp;Master_Dataset!$AH17&amp;"|")),1,0)</f>
        <v>0</v>
      </c>
      <c r="K17" s="60" t="n">
        <f aca="false">IF(ISNUMBER(SEARCH("|LABOR_DIGNITY|","|"&amp;Master_Dataset!$AH17&amp;"|")),1,0)</f>
        <v>0</v>
      </c>
      <c r="L17" s="60" t="n">
        <f aca="false">IF(ISNUMBER(SEARCH("|FARE_LIVELIHOOD|","|"&amp;Master_Dataset!$AH17&amp;"|")),1,0)</f>
        <v>0</v>
      </c>
      <c r="M17" s="60" t="n">
        <f aca="false">IF(ISNUMBER(SEARCH("|MASCULINITY|","|"&amp;Master_Dataset!$AH17&amp;"|")),1,0)</f>
        <v>0</v>
      </c>
      <c r="N17" s="60" t="n">
        <f aca="false">IF(ISNUMBER(SEARCH("|WOMEN_REPRESENTATION|","|"&amp;Master_Dataset!$AH17&amp;"|")),1,0)</f>
        <v>0</v>
      </c>
      <c r="O17" s="60" t="n">
        <f aca="false">IF(ISNUMBER(SEARCH("|SELF_RESPECT|","|"&amp;Master_Dataset!$AH17&amp;"|")),1,0)</f>
        <v>0</v>
      </c>
      <c r="P17" s="60" t="n">
        <f aca="false">IF(ISNUMBER(SEARCH("|DISTRUST_HYPOCRISY|","|"&amp;Master_Dataset!$AH17&amp;"|")),1,0)</f>
        <v>0</v>
      </c>
      <c r="Q17" s="60" t="n">
        <f aca="false">IF(ISNUMBER(SEARCH("|MORAL_ADVICE|","|"&amp;Master_Dataset!$AH17&amp;"|")),1,0)</f>
        <v>0</v>
      </c>
      <c r="R17" s="60" t="n">
        <f aca="false">IF(ISNUMBER(SEARCH("|HOPE_RESILIENCE|","|"&amp;Master_Dataset!$AH17&amp;"|")),1,0)</f>
        <v>0</v>
      </c>
      <c r="S17" s="60" t="n">
        <f aca="false">IF(ISNUMBER(SEARCH("|RELIGION_FATE|","|"&amp;Master_Dataset!$AH17&amp;"|")),1,0)</f>
        <v>0</v>
      </c>
      <c r="T17" s="60" t="n">
        <f aca="false">IF(ISNUMBER(SEARCH("|MORTALITY_RISK|","|"&amp;Master_Dataset!$AH17&amp;"|")),1,0)</f>
        <v>0</v>
      </c>
      <c r="U17" s="60" t="n">
        <f aca="false">IF(ISNUMBER(SEARCH("|INSTITUTION_CRITIQUE|","|"&amp;Master_Dataset!$AH17&amp;"|")),1,0)</f>
        <v>0</v>
      </c>
      <c r="V17" s="60" t="n">
        <f aca="false">IF(ISNUMBER(SEARCH("|PLACE_IDENTITY|","|"&amp;Master_Dataset!$AH17&amp;"|")),1,0)</f>
        <v>0</v>
      </c>
      <c r="W17" s="60" t="n">
        <f aca="false">IF(ISNUMBER(SEARCH("|HUMOR|","|"&amp;Master_Dataset!$AH17&amp;"|")),1,0)</f>
        <v>0</v>
      </c>
      <c r="X17" s="60" t="n">
        <f aca="false">IF(ISNUMBER(SEARCH("|CODE_MIXING_SLANG|","|"&amp;Master_Dataset!$AH17&amp;"|")),1,0)</f>
        <v>0</v>
      </c>
    </row>
    <row r="18" customFormat="false" ht="15" hidden="false" customHeight="true" outlineLevel="0" collapsed="false">
      <c r="A18" s="60" t="n">
        <f aca="false">Master_Dataset!A18</f>
        <v>17</v>
      </c>
      <c r="B18" s="60" t="n">
        <f aca="false">IF(ISNUMBER(SEARCH("|LOVE_ROMANCE|","|"&amp;Master_Dataset!$AH18&amp;"|")),1,0)</f>
        <v>0</v>
      </c>
      <c r="C18" s="60" t="n">
        <f aca="false">IF(ISNUMBER(SEARCH("|SEPARATION_LOSS|","|"&amp;Master_Dataset!$AH18&amp;"|")),1,0)</f>
        <v>0</v>
      </c>
      <c r="D18" s="60" t="n">
        <f aca="false">IF(ISNUMBER(SEARCH("|FAMILY|","|"&amp;Master_Dataset!$AH18&amp;"|")),1,0)</f>
        <v>0</v>
      </c>
      <c r="E18" s="60" t="n">
        <f aca="false">IF(ISNUMBER(SEARCH("|MONEY_MATERIALISM|","|"&amp;Master_Dataset!$AH18&amp;"|")),1,0)</f>
        <v>0</v>
      </c>
      <c r="F18" s="60" t="n">
        <f aca="false">IF(ISNUMBER(SEARCH("|CLASS_INEQUALITY_CRITIQUE|","|"&amp;Master_Dataset!$AH18&amp;"|")),1,0)</f>
        <v>0</v>
      </c>
      <c r="G18" s="60" t="n">
        <f aca="false">IF(ISNUMBER(SEARCH("|CONSUMER_STATUS|","|"&amp;Master_Dataset!$AH18&amp;"|")),1,0)</f>
        <v>0</v>
      </c>
      <c r="H18" s="60" t="n">
        <f aca="false">IF(ISNUMBER(SEARCH("|MIGRATION|","|"&amp;Master_Dataset!$AH18&amp;"|")),1,0)</f>
        <v>0</v>
      </c>
      <c r="I18" s="60" t="n">
        <f aca="false">IF(ISNUMBER(SEARCH("|EDUCATION|","|"&amp;Master_Dataset!$AH18&amp;"|")),1,0)</f>
        <v>0</v>
      </c>
      <c r="J18" s="60" t="n">
        <f aca="false">IF(ISNUMBER(SEARCH("|DRIVER_IDENTITY|","|"&amp;Master_Dataset!$AH18&amp;"|")),1,0)</f>
        <v>1</v>
      </c>
      <c r="K18" s="60" t="n">
        <f aca="false">IF(ISNUMBER(SEARCH("|LABOR_DIGNITY|","|"&amp;Master_Dataset!$AH18&amp;"|")),1,0)</f>
        <v>1</v>
      </c>
      <c r="L18" s="60" t="n">
        <f aca="false">IF(ISNUMBER(SEARCH("|FARE_LIVELIHOOD|","|"&amp;Master_Dataset!$AH18&amp;"|")),1,0)</f>
        <v>0</v>
      </c>
      <c r="M18" s="60" t="n">
        <f aca="false">IF(ISNUMBER(SEARCH("|MASCULINITY|","|"&amp;Master_Dataset!$AH18&amp;"|")),1,0)</f>
        <v>0</v>
      </c>
      <c r="N18" s="60" t="n">
        <f aca="false">IF(ISNUMBER(SEARCH("|WOMEN_REPRESENTATION|","|"&amp;Master_Dataset!$AH18&amp;"|")),1,0)</f>
        <v>0</v>
      </c>
      <c r="O18" s="60" t="n">
        <f aca="false">IF(ISNUMBER(SEARCH("|SELF_RESPECT|","|"&amp;Master_Dataset!$AH18&amp;"|")),1,0)</f>
        <v>0</v>
      </c>
      <c r="P18" s="60" t="n">
        <f aca="false">IF(ISNUMBER(SEARCH("|DISTRUST_HYPOCRISY|","|"&amp;Master_Dataset!$AH18&amp;"|")),1,0)</f>
        <v>0</v>
      </c>
      <c r="Q18" s="60" t="n">
        <f aca="false">IF(ISNUMBER(SEARCH("|MORAL_ADVICE|","|"&amp;Master_Dataset!$AH18&amp;"|")),1,0)</f>
        <v>0</v>
      </c>
      <c r="R18" s="60" t="n">
        <f aca="false">IF(ISNUMBER(SEARCH("|HOPE_RESILIENCE|","|"&amp;Master_Dataset!$AH18&amp;"|")),1,0)</f>
        <v>0</v>
      </c>
      <c r="S18" s="60" t="n">
        <f aca="false">IF(ISNUMBER(SEARCH("|RELIGION_FATE|","|"&amp;Master_Dataset!$AH18&amp;"|")),1,0)</f>
        <v>0</v>
      </c>
      <c r="T18" s="60" t="n">
        <f aca="false">IF(ISNUMBER(SEARCH("|MORTALITY_RISK|","|"&amp;Master_Dataset!$AH18&amp;"|")),1,0)</f>
        <v>0</v>
      </c>
      <c r="U18" s="60" t="n">
        <f aca="false">IF(ISNUMBER(SEARCH("|INSTITUTION_CRITIQUE|","|"&amp;Master_Dataset!$AH18&amp;"|")),1,0)</f>
        <v>0</v>
      </c>
      <c r="V18" s="60" t="n">
        <f aca="false">IF(ISNUMBER(SEARCH("|PLACE_IDENTITY|","|"&amp;Master_Dataset!$AH18&amp;"|")),1,0)</f>
        <v>0</v>
      </c>
      <c r="W18" s="60" t="n">
        <f aca="false">IF(ISNUMBER(SEARCH("|HUMOR|","|"&amp;Master_Dataset!$AH18&amp;"|")),1,0)</f>
        <v>0</v>
      </c>
      <c r="X18" s="60" t="n">
        <f aca="false">IF(ISNUMBER(SEARCH("|CODE_MIXING_SLANG|","|"&amp;Master_Dataset!$AH18&amp;"|")),1,0)</f>
        <v>0</v>
      </c>
    </row>
    <row r="19" customFormat="false" ht="15" hidden="false" customHeight="true" outlineLevel="0" collapsed="false">
      <c r="A19" s="60" t="n">
        <f aca="false">Master_Dataset!A19</f>
        <v>18</v>
      </c>
      <c r="B19" s="60" t="n">
        <f aca="false">IF(ISNUMBER(SEARCH("|LOVE_ROMANCE|","|"&amp;Master_Dataset!$AH19&amp;"|")),1,0)</f>
        <v>0</v>
      </c>
      <c r="C19" s="60" t="n">
        <f aca="false">IF(ISNUMBER(SEARCH("|SEPARATION_LOSS|","|"&amp;Master_Dataset!$AH19&amp;"|")),1,0)</f>
        <v>0</v>
      </c>
      <c r="D19" s="60" t="n">
        <f aca="false">IF(ISNUMBER(SEARCH("|FAMILY|","|"&amp;Master_Dataset!$AH19&amp;"|")),1,0)</f>
        <v>0</v>
      </c>
      <c r="E19" s="60" t="n">
        <f aca="false">IF(ISNUMBER(SEARCH("|MONEY_MATERIALISM|","|"&amp;Master_Dataset!$AH19&amp;"|")),1,0)</f>
        <v>0</v>
      </c>
      <c r="F19" s="60" t="n">
        <f aca="false">IF(ISNUMBER(SEARCH("|CLASS_INEQUALITY_CRITIQUE|","|"&amp;Master_Dataset!$AH19&amp;"|")),1,0)</f>
        <v>0</v>
      </c>
      <c r="G19" s="60" t="n">
        <f aca="false">IF(ISNUMBER(SEARCH("|CONSUMER_STATUS|","|"&amp;Master_Dataset!$AH19&amp;"|")),1,0)</f>
        <v>0</v>
      </c>
      <c r="H19" s="60" t="n">
        <f aca="false">IF(ISNUMBER(SEARCH("|MIGRATION|","|"&amp;Master_Dataset!$AH19&amp;"|")),1,0)</f>
        <v>0</v>
      </c>
      <c r="I19" s="60" t="n">
        <f aca="false">IF(ISNUMBER(SEARCH("|EDUCATION|","|"&amp;Master_Dataset!$AH19&amp;"|")),1,0)</f>
        <v>0</v>
      </c>
      <c r="J19" s="60" t="n">
        <f aca="false">IF(ISNUMBER(SEARCH("|DRIVER_IDENTITY|","|"&amp;Master_Dataset!$AH19&amp;"|")),1,0)</f>
        <v>0</v>
      </c>
      <c r="K19" s="60" t="n">
        <f aca="false">IF(ISNUMBER(SEARCH("|LABOR_DIGNITY|","|"&amp;Master_Dataset!$AH19&amp;"|")),1,0)</f>
        <v>0</v>
      </c>
      <c r="L19" s="60" t="n">
        <f aca="false">IF(ISNUMBER(SEARCH("|FARE_LIVELIHOOD|","|"&amp;Master_Dataset!$AH19&amp;"|")),1,0)</f>
        <v>0</v>
      </c>
      <c r="M19" s="60" t="n">
        <f aca="false">IF(ISNUMBER(SEARCH("|MASCULINITY|","|"&amp;Master_Dataset!$AH19&amp;"|")),1,0)</f>
        <v>0</v>
      </c>
      <c r="N19" s="60" t="n">
        <f aca="false">IF(ISNUMBER(SEARCH("|WOMEN_REPRESENTATION|","|"&amp;Master_Dataset!$AH19&amp;"|")),1,0)</f>
        <v>0</v>
      </c>
      <c r="O19" s="60" t="n">
        <f aca="false">IF(ISNUMBER(SEARCH("|SELF_RESPECT|","|"&amp;Master_Dataset!$AH19&amp;"|")),1,0)</f>
        <v>1</v>
      </c>
      <c r="P19" s="60" t="n">
        <f aca="false">IF(ISNUMBER(SEARCH("|DISTRUST_HYPOCRISY|","|"&amp;Master_Dataset!$AH19&amp;"|")),1,0)</f>
        <v>0</v>
      </c>
      <c r="Q19" s="60" t="n">
        <f aca="false">IF(ISNUMBER(SEARCH("|MORAL_ADVICE|","|"&amp;Master_Dataset!$AH19&amp;"|")),1,0)</f>
        <v>0</v>
      </c>
      <c r="R19" s="60" t="n">
        <f aca="false">IF(ISNUMBER(SEARCH("|HOPE_RESILIENCE|","|"&amp;Master_Dataset!$AH19&amp;"|")),1,0)</f>
        <v>0</v>
      </c>
      <c r="S19" s="60" t="n">
        <f aca="false">IF(ISNUMBER(SEARCH("|RELIGION_FATE|","|"&amp;Master_Dataset!$AH19&amp;"|")),1,0)</f>
        <v>0</v>
      </c>
      <c r="T19" s="60" t="n">
        <f aca="false">IF(ISNUMBER(SEARCH("|MORTALITY_RISK|","|"&amp;Master_Dataset!$AH19&amp;"|")),1,0)</f>
        <v>0</v>
      </c>
      <c r="U19" s="60" t="n">
        <f aca="false">IF(ISNUMBER(SEARCH("|INSTITUTION_CRITIQUE|","|"&amp;Master_Dataset!$AH19&amp;"|")),1,0)</f>
        <v>0</v>
      </c>
      <c r="V19" s="60" t="n">
        <f aca="false">IF(ISNUMBER(SEARCH("|PLACE_IDENTITY|","|"&amp;Master_Dataset!$AH19&amp;"|")),1,0)</f>
        <v>0</v>
      </c>
      <c r="W19" s="60" t="n">
        <f aca="false">IF(ISNUMBER(SEARCH("|HUMOR|","|"&amp;Master_Dataset!$AH19&amp;"|")),1,0)</f>
        <v>0</v>
      </c>
      <c r="X19" s="60" t="n">
        <f aca="false">IF(ISNUMBER(SEARCH("|CODE_MIXING_SLANG|","|"&amp;Master_Dataset!$AH19&amp;"|")),1,0)</f>
        <v>1</v>
      </c>
    </row>
    <row r="20" customFormat="false" ht="15" hidden="false" customHeight="true" outlineLevel="0" collapsed="false">
      <c r="A20" s="60" t="n">
        <f aca="false">Master_Dataset!A20</f>
        <v>19</v>
      </c>
      <c r="B20" s="60" t="n">
        <f aca="false">IF(ISNUMBER(SEARCH("|LOVE_ROMANCE|","|"&amp;Master_Dataset!$AH20&amp;"|")),1,0)</f>
        <v>1</v>
      </c>
      <c r="C20" s="60" t="n">
        <f aca="false">IF(ISNUMBER(SEARCH("|SEPARATION_LOSS|","|"&amp;Master_Dataset!$AH20&amp;"|")),1,0)</f>
        <v>1</v>
      </c>
      <c r="D20" s="60" t="n">
        <f aca="false">IF(ISNUMBER(SEARCH("|FAMILY|","|"&amp;Master_Dataset!$AH20&amp;"|")),1,0)</f>
        <v>0</v>
      </c>
      <c r="E20" s="60" t="n">
        <f aca="false">IF(ISNUMBER(SEARCH("|MONEY_MATERIALISM|","|"&amp;Master_Dataset!$AH20&amp;"|")),1,0)</f>
        <v>0</v>
      </c>
      <c r="F20" s="60" t="n">
        <f aca="false">IF(ISNUMBER(SEARCH("|CLASS_INEQUALITY_CRITIQUE|","|"&amp;Master_Dataset!$AH20&amp;"|")),1,0)</f>
        <v>0</v>
      </c>
      <c r="G20" s="60" t="n">
        <f aca="false">IF(ISNUMBER(SEARCH("|CONSUMER_STATUS|","|"&amp;Master_Dataset!$AH20&amp;"|")),1,0)</f>
        <v>0</v>
      </c>
      <c r="H20" s="60" t="n">
        <f aca="false">IF(ISNUMBER(SEARCH("|MIGRATION|","|"&amp;Master_Dataset!$AH20&amp;"|")),1,0)</f>
        <v>0</v>
      </c>
      <c r="I20" s="60" t="n">
        <f aca="false">IF(ISNUMBER(SEARCH("|EDUCATION|","|"&amp;Master_Dataset!$AH20&amp;"|")),1,0)</f>
        <v>0</v>
      </c>
      <c r="J20" s="60" t="n">
        <f aca="false">IF(ISNUMBER(SEARCH("|DRIVER_IDENTITY|","|"&amp;Master_Dataset!$AH20&amp;"|")),1,0)</f>
        <v>0</v>
      </c>
      <c r="K20" s="60" t="n">
        <f aca="false">IF(ISNUMBER(SEARCH("|LABOR_DIGNITY|","|"&amp;Master_Dataset!$AH20&amp;"|")),1,0)</f>
        <v>0</v>
      </c>
      <c r="L20" s="60" t="n">
        <f aca="false">IF(ISNUMBER(SEARCH("|FARE_LIVELIHOOD|","|"&amp;Master_Dataset!$AH20&amp;"|")),1,0)</f>
        <v>0</v>
      </c>
      <c r="M20" s="60" t="n">
        <f aca="false">IF(ISNUMBER(SEARCH("|MASCULINITY|","|"&amp;Master_Dataset!$AH20&amp;"|")),1,0)</f>
        <v>0</v>
      </c>
      <c r="N20" s="60" t="n">
        <f aca="false">IF(ISNUMBER(SEARCH("|WOMEN_REPRESENTATION|","|"&amp;Master_Dataset!$AH20&amp;"|")),1,0)</f>
        <v>0</v>
      </c>
      <c r="O20" s="60" t="n">
        <f aca="false">IF(ISNUMBER(SEARCH("|SELF_RESPECT|","|"&amp;Master_Dataset!$AH20&amp;"|")),1,0)</f>
        <v>0</v>
      </c>
      <c r="P20" s="60" t="n">
        <f aca="false">IF(ISNUMBER(SEARCH("|DISTRUST_HYPOCRISY|","|"&amp;Master_Dataset!$AH20&amp;"|")),1,0)</f>
        <v>0</v>
      </c>
      <c r="Q20" s="60" t="n">
        <f aca="false">IF(ISNUMBER(SEARCH("|MORAL_ADVICE|","|"&amp;Master_Dataset!$AH20&amp;"|")),1,0)</f>
        <v>0</v>
      </c>
      <c r="R20" s="60" t="n">
        <f aca="false">IF(ISNUMBER(SEARCH("|HOPE_RESILIENCE|","|"&amp;Master_Dataset!$AH20&amp;"|")),1,0)</f>
        <v>0</v>
      </c>
      <c r="S20" s="60" t="n">
        <f aca="false">IF(ISNUMBER(SEARCH("|RELIGION_FATE|","|"&amp;Master_Dataset!$AH20&amp;"|")),1,0)</f>
        <v>0</v>
      </c>
      <c r="T20" s="60" t="n">
        <f aca="false">IF(ISNUMBER(SEARCH("|MORTALITY_RISK|","|"&amp;Master_Dataset!$AH20&amp;"|")),1,0)</f>
        <v>0</v>
      </c>
      <c r="U20" s="60" t="n">
        <f aca="false">IF(ISNUMBER(SEARCH("|INSTITUTION_CRITIQUE|","|"&amp;Master_Dataset!$AH20&amp;"|")),1,0)</f>
        <v>0</v>
      </c>
      <c r="V20" s="60" t="n">
        <f aca="false">IF(ISNUMBER(SEARCH("|PLACE_IDENTITY|","|"&amp;Master_Dataset!$AH20&amp;"|")),1,0)</f>
        <v>0</v>
      </c>
      <c r="W20" s="60" t="n">
        <f aca="false">IF(ISNUMBER(SEARCH("|HUMOR|","|"&amp;Master_Dataset!$AH20&amp;"|")),1,0)</f>
        <v>0</v>
      </c>
      <c r="X20" s="60" t="n">
        <f aca="false">IF(ISNUMBER(SEARCH("|CODE_MIXING_SLANG|","|"&amp;Master_Dataset!$AH20&amp;"|")),1,0)</f>
        <v>0</v>
      </c>
    </row>
    <row r="21" customFormat="false" ht="15" hidden="false" customHeight="true" outlineLevel="0" collapsed="false">
      <c r="A21" s="60" t="n">
        <f aca="false">Master_Dataset!A21</f>
        <v>20</v>
      </c>
      <c r="B21" s="60" t="n">
        <f aca="false">IF(ISNUMBER(SEARCH("|LOVE_ROMANCE|","|"&amp;Master_Dataset!$AH21&amp;"|")),1,0)</f>
        <v>1</v>
      </c>
      <c r="C21" s="60" t="n">
        <f aca="false">IF(ISNUMBER(SEARCH("|SEPARATION_LOSS|","|"&amp;Master_Dataset!$AH21&amp;"|")),1,0)</f>
        <v>0</v>
      </c>
      <c r="D21" s="60" t="n">
        <f aca="false">IF(ISNUMBER(SEARCH("|FAMILY|","|"&amp;Master_Dataset!$AH21&amp;"|")),1,0)</f>
        <v>0</v>
      </c>
      <c r="E21" s="60" t="n">
        <f aca="false">IF(ISNUMBER(SEARCH("|MONEY_MATERIALISM|","|"&amp;Master_Dataset!$AH21&amp;"|")),1,0)</f>
        <v>0</v>
      </c>
      <c r="F21" s="60" t="n">
        <f aca="false">IF(ISNUMBER(SEARCH("|CLASS_INEQUALITY_CRITIQUE|","|"&amp;Master_Dataset!$AH21&amp;"|")),1,0)</f>
        <v>0</v>
      </c>
      <c r="G21" s="60" t="n">
        <f aca="false">IF(ISNUMBER(SEARCH("|CONSUMER_STATUS|","|"&amp;Master_Dataset!$AH21&amp;"|")),1,0)</f>
        <v>0</v>
      </c>
      <c r="H21" s="60" t="n">
        <f aca="false">IF(ISNUMBER(SEARCH("|MIGRATION|","|"&amp;Master_Dataset!$AH21&amp;"|")),1,0)</f>
        <v>0</v>
      </c>
      <c r="I21" s="60" t="n">
        <f aca="false">IF(ISNUMBER(SEARCH("|EDUCATION|","|"&amp;Master_Dataset!$AH21&amp;"|")),1,0)</f>
        <v>0</v>
      </c>
      <c r="J21" s="60" t="n">
        <f aca="false">IF(ISNUMBER(SEARCH("|DRIVER_IDENTITY|","|"&amp;Master_Dataset!$AH21&amp;"|")),1,0)</f>
        <v>0</v>
      </c>
      <c r="K21" s="60" t="n">
        <f aca="false">IF(ISNUMBER(SEARCH("|LABOR_DIGNITY|","|"&amp;Master_Dataset!$AH21&amp;"|")),1,0)</f>
        <v>0</v>
      </c>
      <c r="L21" s="60" t="n">
        <f aca="false">IF(ISNUMBER(SEARCH("|FARE_LIVELIHOOD|","|"&amp;Master_Dataset!$AH21&amp;"|")),1,0)</f>
        <v>1</v>
      </c>
      <c r="M21" s="60" t="n">
        <f aca="false">IF(ISNUMBER(SEARCH("|MASCULINITY|","|"&amp;Master_Dataset!$AH21&amp;"|")),1,0)</f>
        <v>0</v>
      </c>
      <c r="N21" s="60" t="n">
        <f aca="false">IF(ISNUMBER(SEARCH("|WOMEN_REPRESENTATION|","|"&amp;Master_Dataset!$AH21&amp;"|")),1,0)</f>
        <v>0</v>
      </c>
      <c r="O21" s="60" t="n">
        <f aca="false">IF(ISNUMBER(SEARCH("|SELF_RESPECT|","|"&amp;Master_Dataset!$AH21&amp;"|")),1,0)</f>
        <v>0</v>
      </c>
      <c r="P21" s="60" t="n">
        <f aca="false">IF(ISNUMBER(SEARCH("|DISTRUST_HYPOCRISY|","|"&amp;Master_Dataset!$AH21&amp;"|")),1,0)</f>
        <v>0</v>
      </c>
      <c r="Q21" s="60" t="n">
        <f aca="false">IF(ISNUMBER(SEARCH("|MORAL_ADVICE|","|"&amp;Master_Dataset!$AH21&amp;"|")),1,0)</f>
        <v>0</v>
      </c>
      <c r="R21" s="60" t="n">
        <f aca="false">IF(ISNUMBER(SEARCH("|HOPE_RESILIENCE|","|"&amp;Master_Dataset!$AH21&amp;"|")),1,0)</f>
        <v>1</v>
      </c>
      <c r="S21" s="60" t="n">
        <f aca="false">IF(ISNUMBER(SEARCH("|RELIGION_FATE|","|"&amp;Master_Dataset!$AH21&amp;"|")),1,0)</f>
        <v>0</v>
      </c>
      <c r="T21" s="60" t="n">
        <f aca="false">IF(ISNUMBER(SEARCH("|MORTALITY_RISK|","|"&amp;Master_Dataset!$AH21&amp;"|")),1,0)</f>
        <v>0</v>
      </c>
      <c r="U21" s="60" t="n">
        <f aca="false">IF(ISNUMBER(SEARCH("|INSTITUTION_CRITIQUE|","|"&amp;Master_Dataset!$AH21&amp;"|")),1,0)</f>
        <v>0</v>
      </c>
      <c r="V21" s="60" t="n">
        <f aca="false">IF(ISNUMBER(SEARCH("|PLACE_IDENTITY|","|"&amp;Master_Dataset!$AH21&amp;"|")),1,0)</f>
        <v>0</v>
      </c>
      <c r="W21" s="60" t="n">
        <f aca="false">IF(ISNUMBER(SEARCH("|HUMOR|","|"&amp;Master_Dataset!$AH21&amp;"|")),1,0)</f>
        <v>1</v>
      </c>
      <c r="X21" s="60" t="n">
        <f aca="false">IF(ISNUMBER(SEARCH("|CODE_MIXING_SLANG|","|"&amp;Master_Dataset!$AH21&amp;"|")),1,0)</f>
        <v>1</v>
      </c>
    </row>
    <row r="22" customFormat="false" ht="15" hidden="false" customHeight="true" outlineLevel="0" collapsed="false">
      <c r="A22" s="60" t="n">
        <f aca="false">Master_Dataset!A22</f>
        <v>21</v>
      </c>
      <c r="B22" s="60" t="n">
        <f aca="false">IF(ISNUMBER(SEARCH("|LOVE_ROMANCE|","|"&amp;Master_Dataset!$AH22&amp;"|")),1,0)</f>
        <v>0</v>
      </c>
      <c r="C22" s="60" t="n">
        <f aca="false">IF(ISNUMBER(SEARCH("|SEPARATION_LOSS|","|"&amp;Master_Dataset!$AH22&amp;"|")),1,0)</f>
        <v>0</v>
      </c>
      <c r="D22" s="60" t="n">
        <f aca="false">IF(ISNUMBER(SEARCH("|FAMILY|","|"&amp;Master_Dataset!$AH22&amp;"|")),1,0)</f>
        <v>0</v>
      </c>
      <c r="E22" s="60" t="n">
        <f aca="false">IF(ISNUMBER(SEARCH("|MONEY_MATERIALISM|","|"&amp;Master_Dataset!$AH22&amp;"|")),1,0)</f>
        <v>0</v>
      </c>
      <c r="F22" s="60" t="n">
        <f aca="false">IF(ISNUMBER(SEARCH("|CLASS_INEQUALITY_CRITIQUE|","|"&amp;Master_Dataset!$AH22&amp;"|")),1,0)</f>
        <v>0</v>
      </c>
      <c r="G22" s="60" t="n">
        <f aca="false">IF(ISNUMBER(SEARCH("|CONSUMER_STATUS|","|"&amp;Master_Dataset!$AH22&amp;"|")),1,0)</f>
        <v>0</v>
      </c>
      <c r="H22" s="60" t="n">
        <f aca="false">IF(ISNUMBER(SEARCH("|MIGRATION|","|"&amp;Master_Dataset!$AH22&amp;"|")),1,0)</f>
        <v>0</v>
      </c>
      <c r="I22" s="60" t="n">
        <f aca="false">IF(ISNUMBER(SEARCH("|EDUCATION|","|"&amp;Master_Dataset!$AH22&amp;"|")),1,0)</f>
        <v>0</v>
      </c>
      <c r="J22" s="60" t="n">
        <f aca="false">IF(ISNUMBER(SEARCH("|DRIVER_IDENTITY|","|"&amp;Master_Dataset!$AH22&amp;"|")),1,0)</f>
        <v>0</v>
      </c>
      <c r="K22" s="60" t="n">
        <f aca="false">IF(ISNUMBER(SEARCH("|LABOR_DIGNITY|","|"&amp;Master_Dataset!$AH22&amp;"|")),1,0)</f>
        <v>1</v>
      </c>
      <c r="L22" s="60" t="n">
        <f aca="false">IF(ISNUMBER(SEARCH("|FARE_LIVELIHOOD|","|"&amp;Master_Dataset!$AH22&amp;"|")),1,0)</f>
        <v>1</v>
      </c>
      <c r="M22" s="60" t="n">
        <f aca="false">IF(ISNUMBER(SEARCH("|MASCULINITY|","|"&amp;Master_Dataset!$AH22&amp;"|")),1,0)</f>
        <v>0</v>
      </c>
      <c r="N22" s="60" t="n">
        <f aca="false">IF(ISNUMBER(SEARCH("|WOMEN_REPRESENTATION|","|"&amp;Master_Dataset!$AH22&amp;"|")),1,0)</f>
        <v>0</v>
      </c>
      <c r="O22" s="60" t="n">
        <f aca="false">IF(ISNUMBER(SEARCH("|SELF_RESPECT|","|"&amp;Master_Dataset!$AH22&amp;"|")),1,0)</f>
        <v>1</v>
      </c>
      <c r="P22" s="60" t="n">
        <f aca="false">IF(ISNUMBER(SEARCH("|DISTRUST_HYPOCRISY|","|"&amp;Master_Dataset!$AH22&amp;"|")),1,0)</f>
        <v>0</v>
      </c>
      <c r="Q22" s="60" t="n">
        <f aca="false">IF(ISNUMBER(SEARCH("|MORAL_ADVICE|","|"&amp;Master_Dataset!$AH22&amp;"|")),1,0)</f>
        <v>0</v>
      </c>
      <c r="R22" s="60" t="n">
        <f aca="false">IF(ISNUMBER(SEARCH("|HOPE_RESILIENCE|","|"&amp;Master_Dataset!$AH22&amp;"|")),1,0)</f>
        <v>0</v>
      </c>
      <c r="S22" s="60" t="n">
        <f aca="false">IF(ISNUMBER(SEARCH("|RELIGION_FATE|","|"&amp;Master_Dataset!$AH22&amp;"|")),1,0)</f>
        <v>0</v>
      </c>
      <c r="T22" s="60" t="n">
        <f aca="false">IF(ISNUMBER(SEARCH("|MORTALITY_RISK|","|"&amp;Master_Dataset!$AH22&amp;"|")),1,0)</f>
        <v>0</v>
      </c>
      <c r="U22" s="60" t="n">
        <f aca="false">IF(ISNUMBER(SEARCH("|INSTITUTION_CRITIQUE|","|"&amp;Master_Dataset!$AH22&amp;"|")),1,0)</f>
        <v>0</v>
      </c>
      <c r="V22" s="60" t="n">
        <f aca="false">IF(ISNUMBER(SEARCH("|PLACE_IDENTITY|","|"&amp;Master_Dataset!$AH22&amp;"|")),1,0)</f>
        <v>0</v>
      </c>
      <c r="W22" s="60" t="n">
        <f aca="false">IF(ISNUMBER(SEARCH("|HUMOR|","|"&amp;Master_Dataset!$AH22&amp;"|")),1,0)</f>
        <v>0</v>
      </c>
      <c r="X22" s="60" t="n">
        <f aca="false">IF(ISNUMBER(SEARCH("|CODE_MIXING_SLANG|","|"&amp;Master_Dataset!$AH22&amp;"|")),1,0)</f>
        <v>0</v>
      </c>
    </row>
    <row r="23" customFormat="false" ht="15" hidden="false" customHeight="true" outlineLevel="0" collapsed="false">
      <c r="A23" s="60" t="n">
        <f aca="false">Master_Dataset!A23</f>
        <v>22</v>
      </c>
      <c r="B23" s="60" t="n">
        <f aca="false">IF(ISNUMBER(SEARCH("|LOVE_ROMANCE|","|"&amp;Master_Dataset!$AH23&amp;"|")),1,0)</f>
        <v>0</v>
      </c>
      <c r="C23" s="60" t="n">
        <f aca="false">IF(ISNUMBER(SEARCH("|SEPARATION_LOSS|","|"&amp;Master_Dataset!$AH23&amp;"|")),1,0)</f>
        <v>0</v>
      </c>
      <c r="D23" s="60" t="n">
        <f aca="false">IF(ISNUMBER(SEARCH("|FAMILY|","|"&amp;Master_Dataset!$AH23&amp;"|")),1,0)</f>
        <v>0</v>
      </c>
      <c r="E23" s="60" t="n">
        <f aca="false">IF(ISNUMBER(SEARCH("|MONEY_MATERIALISM|","|"&amp;Master_Dataset!$AH23&amp;"|")),1,0)</f>
        <v>0</v>
      </c>
      <c r="F23" s="60" t="n">
        <f aca="false">IF(ISNUMBER(SEARCH("|CLASS_INEQUALITY_CRITIQUE|","|"&amp;Master_Dataset!$AH23&amp;"|")),1,0)</f>
        <v>0</v>
      </c>
      <c r="G23" s="60" t="n">
        <f aca="false">IF(ISNUMBER(SEARCH("|CONSUMER_STATUS|","|"&amp;Master_Dataset!$AH23&amp;"|")),1,0)</f>
        <v>0</v>
      </c>
      <c r="H23" s="60" t="n">
        <f aca="false">IF(ISNUMBER(SEARCH("|MIGRATION|","|"&amp;Master_Dataset!$AH23&amp;"|")),1,0)</f>
        <v>0</v>
      </c>
      <c r="I23" s="60" t="n">
        <f aca="false">IF(ISNUMBER(SEARCH("|EDUCATION|","|"&amp;Master_Dataset!$AH23&amp;"|")),1,0)</f>
        <v>0</v>
      </c>
      <c r="J23" s="60" t="n">
        <f aca="false">IF(ISNUMBER(SEARCH("|DRIVER_IDENTITY|","|"&amp;Master_Dataset!$AH23&amp;"|")),1,0)</f>
        <v>0</v>
      </c>
      <c r="K23" s="60" t="n">
        <f aca="false">IF(ISNUMBER(SEARCH("|LABOR_DIGNITY|","|"&amp;Master_Dataset!$AH23&amp;"|")),1,0)</f>
        <v>0</v>
      </c>
      <c r="L23" s="60" t="n">
        <f aca="false">IF(ISNUMBER(SEARCH("|FARE_LIVELIHOOD|","|"&amp;Master_Dataset!$AH23&amp;"|")),1,0)</f>
        <v>0</v>
      </c>
      <c r="M23" s="60" t="n">
        <f aca="false">IF(ISNUMBER(SEARCH("|MASCULINITY|","|"&amp;Master_Dataset!$AH23&amp;"|")),1,0)</f>
        <v>0</v>
      </c>
      <c r="N23" s="60" t="n">
        <f aca="false">IF(ISNUMBER(SEARCH("|WOMEN_REPRESENTATION|","|"&amp;Master_Dataset!$AH23&amp;"|")),1,0)</f>
        <v>0</v>
      </c>
      <c r="O23" s="60" t="n">
        <f aca="false">IF(ISNUMBER(SEARCH("|SELF_RESPECT|","|"&amp;Master_Dataset!$AH23&amp;"|")),1,0)</f>
        <v>1</v>
      </c>
      <c r="P23" s="60" t="n">
        <f aca="false">IF(ISNUMBER(SEARCH("|DISTRUST_HYPOCRISY|","|"&amp;Master_Dataset!$AH23&amp;"|")),1,0)</f>
        <v>0</v>
      </c>
      <c r="Q23" s="60" t="n">
        <f aca="false">IF(ISNUMBER(SEARCH("|MORAL_ADVICE|","|"&amp;Master_Dataset!$AH23&amp;"|")),1,0)</f>
        <v>0</v>
      </c>
      <c r="R23" s="60" t="n">
        <f aca="false">IF(ISNUMBER(SEARCH("|HOPE_RESILIENCE|","|"&amp;Master_Dataset!$AH23&amp;"|")),1,0)</f>
        <v>0</v>
      </c>
      <c r="S23" s="60" t="n">
        <f aca="false">IF(ISNUMBER(SEARCH("|RELIGION_FATE|","|"&amp;Master_Dataset!$AH23&amp;"|")),1,0)</f>
        <v>0</v>
      </c>
      <c r="T23" s="60" t="n">
        <f aca="false">IF(ISNUMBER(SEARCH("|MORTALITY_RISK|","|"&amp;Master_Dataset!$AH23&amp;"|")),1,0)</f>
        <v>0</v>
      </c>
      <c r="U23" s="60" t="n">
        <f aca="false">IF(ISNUMBER(SEARCH("|INSTITUTION_CRITIQUE|","|"&amp;Master_Dataset!$AH23&amp;"|")),1,0)</f>
        <v>0</v>
      </c>
      <c r="V23" s="60" t="n">
        <f aca="false">IF(ISNUMBER(SEARCH("|PLACE_IDENTITY|","|"&amp;Master_Dataset!$AH23&amp;"|")),1,0)</f>
        <v>0</v>
      </c>
      <c r="W23" s="60" t="n">
        <f aca="false">IF(ISNUMBER(SEARCH("|HUMOR|","|"&amp;Master_Dataset!$AH23&amp;"|")),1,0)</f>
        <v>0</v>
      </c>
      <c r="X23" s="60" t="n">
        <f aca="false">IF(ISNUMBER(SEARCH("|CODE_MIXING_SLANG|","|"&amp;Master_Dataset!$AH23&amp;"|")),1,0)</f>
        <v>0</v>
      </c>
    </row>
    <row r="24" customFormat="false" ht="15" hidden="false" customHeight="true" outlineLevel="0" collapsed="false">
      <c r="A24" s="60" t="n">
        <f aca="false">Master_Dataset!A24</f>
        <v>23</v>
      </c>
      <c r="B24" s="60" t="n">
        <f aca="false">IF(ISNUMBER(SEARCH("|LOVE_ROMANCE|","|"&amp;Master_Dataset!$AH24&amp;"|")),1,0)</f>
        <v>1</v>
      </c>
      <c r="C24" s="60" t="n">
        <f aca="false">IF(ISNUMBER(SEARCH("|SEPARATION_LOSS|","|"&amp;Master_Dataset!$AH24&amp;"|")),1,0)</f>
        <v>0</v>
      </c>
      <c r="D24" s="60" t="n">
        <f aca="false">IF(ISNUMBER(SEARCH("|FAMILY|","|"&amp;Master_Dataset!$AH24&amp;"|")),1,0)</f>
        <v>0</v>
      </c>
      <c r="E24" s="60" t="n">
        <f aca="false">IF(ISNUMBER(SEARCH("|MONEY_MATERIALISM|","|"&amp;Master_Dataset!$AH24&amp;"|")),1,0)</f>
        <v>0</v>
      </c>
      <c r="F24" s="60" t="n">
        <f aca="false">IF(ISNUMBER(SEARCH("|CLASS_INEQUALITY_CRITIQUE|","|"&amp;Master_Dataset!$AH24&amp;"|")),1,0)</f>
        <v>0</v>
      </c>
      <c r="G24" s="60" t="n">
        <f aca="false">IF(ISNUMBER(SEARCH("|CONSUMER_STATUS|","|"&amp;Master_Dataset!$AH24&amp;"|")),1,0)</f>
        <v>0</v>
      </c>
      <c r="H24" s="60" t="n">
        <f aca="false">IF(ISNUMBER(SEARCH("|MIGRATION|","|"&amp;Master_Dataset!$AH24&amp;"|")),1,0)</f>
        <v>0</v>
      </c>
      <c r="I24" s="60" t="n">
        <f aca="false">IF(ISNUMBER(SEARCH("|EDUCATION|","|"&amp;Master_Dataset!$AH24&amp;"|")),1,0)</f>
        <v>0</v>
      </c>
      <c r="J24" s="60" t="n">
        <f aca="false">IF(ISNUMBER(SEARCH("|DRIVER_IDENTITY|","|"&amp;Master_Dataset!$AH24&amp;"|")),1,0)</f>
        <v>0</v>
      </c>
      <c r="K24" s="60" t="n">
        <f aca="false">IF(ISNUMBER(SEARCH("|LABOR_DIGNITY|","|"&amp;Master_Dataset!$AH24&amp;"|")),1,0)</f>
        <v>0</v>
      </c>
      <c r="L24" s="60" t="n">
        <f aca="false">IF(ISNUMBER(SEARCH("|FARE_LIVELIHOOD|","|"&amp;Master_Dataset!$AH24&amp;"|")),1,0)</f>
        <v>1</v>
      </c>
      <c r="M24" s="60" t="n">
        <f aca="false">IF(ISNUMBER(SEARCH("|MASCULINITY|","|"&amp;Master_Dataset!$AH24&amp;"|")),1,0)</f>
        <v>0</v>
      </c>
      <c r="N24" s="60" t="n">
        <f aca="false">IF(ISNUMBER(SEARCH("|WOMEN_REPRESENTATION|","|"&amp;Master_Dataset!$AH24&amp;"|")),1,0)</f>
        <v>0</v>
      </c>
      <c r="O24" s="60" t="n">
        <f aca="false">IF(ISNUMBER(SEARCH("|SELF_RESPECT|","|"&amp;Master_Dataset!$AH24&amp;"|")),1,0)</f>
        <v>0</v>
      </c>
      <c r="P24" s="60" t="n">
        <f aca="false">IF(ISNUMBER(SEARCH("|DISTRUST_HYPOCRISY|","|"&amp;Master_Dataset!$AH24&amp;"|")),1,0)</f>
        <v>0</v>
      </c>
      <c r="Q24" s="60" t="n">
        <f aca="false">IF(ISNUMBER(SEARCH("|MORAL_ADVICE|","|"&amp;Master_Dataset!$AH24&amp;"|")),1,0)</f>
        <v>0</v>
      </c>
      <c r="R24" s="60" t="n">
        <f aca="false">IF(ISNUMBER(SEARCH("|HOPE_RESILIENCE|","|"&amp;Master_Dataset!$AH24&amp;"|")),1,0)</f>
        <v>1</v>
      </c>
      <c r="S24" s="60" t="n">
        <f aca="false">IF(ISNUMBER(SEARCH("|RELIGION_FATE|","|"&amp;Master_Dataset!$AH24&amp;"|")),1,0)</f>
        <v>0</v>
      </c>
      <c r="T24" s="60" t="n">
        <f aca="false">IF(ISNUMBER(SEARCH("|MORTALITY_RISK|","|"&amp;Master_Dataset!$AH24&amp;"|")),1,0)</f>
        <v>0</v>
      </c>
      <c r="U24" s="60" t="n">
        <f aca="false">IF(ISNUMBER(SEARCH("|INSTITUTION_CRITIQUE|","|"&amp;Master_Dataset!$AH24&amp;"|")),1,0)</f>
        <v>0</v>
      </c>
      <c r="V24" s="60" t="n">
        <f aca="false">IF(ISNUMBER(SEARCH("|PLACE_IDENTITY|","|"&amp;Master_Dataset!$AH24&amp;"|")),1,0)</f>
        <v>0</v>
      </c>
      <c r="W24" s="60" t="n">
        <f aca="false">IF(ISNUMBER(SEARCH("|HUMOR|","|"&amp;Master_Dataset!$AH24&amp;"|")),1,0)</f>
        <v>1</v>
      </c>
      <c r="X24" s="60" t="n">
        <f aca="false">IF(ISNUMBER(SEARCH("|CODE_MIXING_SLANG|","|"&amp;Master_Dataset!$AH24&amp;"|")),1,0)</f>
        <v>0</v>
      </c>
    </row>
    <row r="25" customFormat="false" ht="15" hidden="false" customHeight="true" outlineLevel="0" collapsed="false">
      <c r="A25" s="60" t="n">
        <f aca="false">Master_Dataset!A25</f>
        <v>24</v>
      </c>
      <c r="B25" s="60" t="n">
        <f aca="false">IF(ISNUMBER(SEARCH("|LOVE_ROMANCE|","|"&amp;Master_Dataset!$AH25&amp;"|")),1,0)</f>
        <v>0</v>
      </c>
      <c r="C25" s="60" t="n">
        <f aca="false">IF(ISNUMBER(SEARCH("|SEPARATION_LOSS|","|"&amp;Master_Dataset!$AH25&amp;"|")),1,0)</f>
        <v>0</v>
      </c>
      <c r="D25" s="60" t="n">
        <f aca="false">IF(ISNUMBER(SEARCH("|FAMILY|","|"&amp;Master_Dataset!$AH25&amp;"|")),1,0)</f>
        <v>1</v>
      </c>
      <c r="E25" s="60" t="n">
        <f aca="false">IF(ISNUMBER(SEARCH("|MONEY_MATERIALISM|","|"&amp;Master_Dataset!$AH25&amp;"|")),1,0)</f>
        <v>0</v>
      </c>
      <c r="F25" s="60" t="n">
        <f aca="false">IF(ISNUMBER(SEARCH("|CLASS_INEQUALITY_CRITIQUE|","|"&amp;Master_Dataset!$AH25&amp;"|")),1,0)</f>
        <v>0</v>
      </c>
      <c r="G25" s="60" t="n">
        <f aca="false">IF(ISNUMBER(SEARCH("|CONSUMER_STATUS|","|"&amp;Master_Dataset!$AH25&amp;"|")),1,0)</f>
        <v>0</v>
      </c>
      <c r="H25" s="60" t="n">
        <f aca="false">IF(ISNUMBER(SEARCH("|MIGRATION|","|"&amp;Master_Dataset!$AH25&amp;"|")),1,0)</f>
        <v>1</v>
      </c>
      <c r="I25" s="60" t="n">
        <f aca="false">IF(ISNUMBER(SEARCH("|EDUCATION|","|"&amp;Master_Dataset!$AH25&amp;"|")),1,0)</f>
        <v>0</v>
      </c>
      <c r="J25" s="60" t="n">
        <f aca="false">IF(ISNUMBER(SEARCH("|DRIVER_IDENTITY|","|"&amp;Master_Dataset!$AH25&amp;"|")),1,0)</f>
        <v>1</v>
      </c>
      <c r="K25" s="60" t="n">
        <f aca="false">IF(ISNUMBER(SEARCH("|LABOR_DIGNITY|","|"&amp;Master_Dataset!$AH25&amp;"|")),1,0)</f>
        <v>1</v>
      </c>
      <c r="L25" s="60" t="n">
        <f aca="false">IF(ISNUMBER(SEARCH("|FARE_LIVELIHOOD|","|"&amp;Master_Dataset!$AH25&amp;"|")),1,0)</f>
        <v>0</v>
      </c>
      <c r="M25" s="60" t="n">
        <f aca="false">IF(ISNUMBER(SEARCH("|MASCULINITY|","|"&amp;Master_Dataset!$AH25&amp;"|")),1,0)</f>
        <v>0</v>
      </c>
      <c r="N25" s="60" t="n">
        <f aca="false">IF(ISNUMBER(SEARCH("|WOMEN_REPRESENTATION|","|"&amp;Master_Dataset!$AH25&amp;"|")),1,0)</f>
        <v>0</v>
      </c>
      <c r="O25" s="60" t="n">
        <f aca="false">IF(ISNUMBER(SEARCH("|SELF_RESPECT|","|"&amp;Master_Dataset!$AH25&amp;"|")),1,0)</f>
        <v>0</v>
      </c>
      <c r="P25" s="60" t="n">
        <f aca="false">IF(ISNUMBER(SEARCH("|DISTRUST_HYPOCRISY|","|"&amp;Master_Dataset!$AH25&amp;"|")),1,0)</f>
        <v>1</v>
      </c>
      <c r="Q25" s="60" t="n">
        <f aca="false">IF(ISNUMBER(SEARCH("|MORAL_ADVICE|","|"&amp;Master_Dataset!$AH25&amp;"|")),1,0)</f>
        <v>0</v>
      </c>
      <c r="R25" s="60" t="n">
        <f aca="false">IF(ISNUMBER(SEARCH("|HOPE_RESILIENCE|","|"&amp;Master_Dataset!$AH25&amp;"|")),1,0)</f>
        <v>0</v>
      </c>
      <c r="S25" s="60" t="n">
        <f aca="false">IF(ISNUMBER(SEARCH("|RELIGION_FATE|","|"&amp;Master_Dataset!$AH25&amp;"|")),1,0)</f>
        <v>0</v>
      </c>
      <c r="T25" s="60" t="n">
        <f aca="false">IF(ISNUMBER(SEARCH("|MORTALITY_RISK|","|"&amp;Master_Dataset!$AH25&amp;"|")),1,0)</f>
        <v>0</v>
      </c>
      <c r="U25" s="60" t="n">
        <f aca="false">IF(ISNUMBER(SEARCH("|INSTITUTION_CRITIQUE|","|"&amp;Master_Dataset!$AH25&amp;"|")),1,0)</f>
        <v>0</v>
      </c>
      <c r="V25" s="60" t="n">
        <f aca="false">IF(ISNUMBER(SEARCH("|PLACE_IDENTITY|","|"&amp;Master_Dataset!$AH25&amp;"|")),1,0)</f>
        <v>0</v>
      </c>
      <c r="W25" s="60" t="n">
        <f aca="false">IF(ISNUMBER(SEARCH("|HUMOR|","|"&amp;Master_Dataset!$AH25&amp;"|")),1,0)</f>
        <v>0</v>
      </c>
      <c r="X25" s="60" t="n">
        <f aca="false">IF(ISNUMBER(SEARCH("|CODE_MIXING_SLANG|","|"&amp;Master_Dataset!$AH25&amp;"|")),1,0)</f>
        <v>0</v>
      </c>
    </row>
    <row r="26" customFormat="false" ht="15" hidden="false" customHeight="true" outlineLevel="0" collapsed="false">
      <c r="A26" s="60" t="n">
        <f aca="false">Master_Dataset!A26</f>
        <v>25</v>
      </c>
      <c r="B26" s="60" t="n">
        <f aca="false">IF(ISNUMBER(SEARCH("|LOVE_ROMANCE|","|"&amp;Master_Dataset!$AH26&amp;"|")),1,0)</f>
        <v>1</v>
      </c>
      <c r="C26" s="60" t="n">
        <f aca="false">IF(ISNUMBER(SEARCH("|SEPARATION_LOSS|","|"&amp;Master_Dataset!$AH26&amp;"|")),1,0)</f>
        <v>0</v>
      </c>
      <c r="D26" s="60" t="n">
        <f aca="false">IF(ISNUMBER(SEARCH("|FAMILY|","|"&amp;Master_Dataset!$AH26&amp;"|")),1,0)</f>
        <v>0</v>
      </c>
      <c r="E26" s="60" t="n">
        <f aca="false">IF(ISNUMBER(SEARCH("|MONEY_MATERIALISM|","|"&amp;Master_Dataset!$AH26&amp;"|")),1,0)</f>
        <v>0</v>
      </c>
      <c r="F26" s="60" t="n">
        <f aca="false">IF(ISNUMBER(SEARCH("|CLASS_INEQUALITY_CRITIQUE|","|"&amp;Master_Dataset!$AH26&amp;"|")),1,0)</f>
        <v>0</v>
      </c>
      <c r="G26" s="60" t="n">
        <f aca="false">IF(ISNUMBER(SEARCH("|CONSUMER_STATUS|","|"&amp;Master_Dataset!$AH26&amp;"|")),1,0)</f>
        <v>0</v>
      </c>
      <c r="H26" s="60" t="n">
        <f aca="false">IF(ISNUMBER(SEARCH("|MIGRATION|","|"&amp;Master_Dataset!$AH26&amp;"|")),1,0)</f>
        <v>0</v>
      </c>
      <c r="I26" s="60" t="n">
        <f aca="false">IF(ISNUMBER(SEARCH("|EDUCATION|","|"&amp;Master_Dataset!$AH26&amp;"|")),1,0)</f>
        <v>0</v>
      </c>
      <c r="J26" s="60" t="n">
        <f aca="false">IF(ISNUMBER(SEARCH("|DRIVER_IDENTITY|","|"&amp;Master_Dataset!$AH26&amp;"|")),1,0)</f>
        <v>0</v>
      </c>
      <c r="K26" s="60" t="n">
        <f aca="false">IF(ISNUMBER(SEARCH("|LABOR_DIGNITY|","|"&amp;Master_Dataset!$AH26&amp;"|")),1,0)</f>
        <v>0</v>
      </c>
      <c r="L26" s="60" t="n">
        <f aca="false">IF(ISNUMBER(SEARCH("|FARE_LIVELIHOOD|","|"&amp;Master_Dataset!$AH26&amp;"|")),1,0)</f>
        <v>0</v>
      </c>
      <c r="M26" s="60" t="n">
        <f aca="false">IF(ISNUMBER(SEARCH("|MASCULINITY|","|"&amp;Master_Dataset!$AH26&amp;"|")),1,0)</f>
        <v>0</v>
      </c>
      <c r="N26" s="60" t="n">
        <f aca="false">IF(ISNUMBER(SEARCH("|WOMEN_REPRESENTATION|","|"&amp;Master_Dataset!$AH26&amp;"|")),1,0)</f>
        <v>1</v>
      </c>
      <c r="O26" s="60" t="n">
        <f aca="false">IF(ISNUMBER(SEARCH("|SELF_RESPECT|","|"&amp;Master_Dataset!$AH26&amp;"|")),1,0)</f>
        <v>0</v>
      </c>
      <c r="P26" s="60" t="n">
        <f aca="false">IF(ISNUMBER(SEARCH("|DISTRUST_HYPOCRISY|","|"&amp;Master_Dataset!$AH26&amp;"|")),1,0)</f>
        <v>0</v>
      </c>
      <c r="Q26" s="60" t="n">
        <f aca="false">IF(ISNUMBER(SEARCH("|MORAL_ADVICE|","|"&amp;Master_Dataset!$AH26&amp;"|")),1,0)</f>
        <v>0</v>
      </c>
      <c r="R26" s="60" t="n">
        <f aca="false">IF(ISNUMBER(SEARCH("|HOPE_RESILIENCE|","|"&amp;Master_Dataset!$AH26&amp;"|")),1,0)</f>
        <v>0</v>
      </c>
      <c r="S26" s="60" t="n">
        <f aca="false">IF(ISNUMBER(SEARCH("|RELIGION_FATE|","|"&amp;Master_Dataset!$AH26&amp;"|")),1,0)</f>
        <v>0</v>
      </c>
      <c r="T26" s="60" t="n">
        <f aca="false">IF(ISNUMBER(SEARCH("|MORTALITY_RISK|","|"&amp;Master_Dataset!$AH26&amp;"|")),1,0)</f>
        <v>0</v>
      </c>
      <c r="U26" s="60" t="n">
        <f aca="false">IF(ISNUMBER(SEARCH("|INSTITUTION_CRITIQUE|","|"&amp;Master_Dataset!$AH26&amp;"|")),1,0)</f>
        <v>0</v>
      </c>
      <c r="V26" s="60" t="n">
        <f aca="false">IF(ISNUMBER(SEARCH("|PLACE_IDENTITY|","|"&amp;Master_Dataset!$AH26&amp;"|")),1,0)</f>
        <v>1</v>
      </c>
      <c r="W26" s="60" t="n">
        <f aca="false">IF(ISNUMBER(SEARCH("|HUMOR|","|"&amp;Master_Dataset!$AH26&amp;"|")),1,0)</f>
        <v>0</v>
      </c>
      <c r="X26" s="60" t="n">
        <f aca="false">IF(ISNUMBER(SEARCH("|CODE_MIXING_SLANG|","|"&amp;Master_Dataset!$AH26&amp;"|")),1,0)</f>
        <v>0</v>
      </c>
    </row>
    <row r="27" customFormat="false" ht="15" hidden="false" customHeight="true" outlineLevel="0" collapsed="false">
      <c r="A27" s="60" t="n">
        <f aca="false">Master_Dataset!A27</f>
        <v>26</v>
      </c>
      <c r="B27" s="60" t="n">
        <f aca="false">IF(ISNUMBER(SEARCH("|LOVE_ROMANCE|","|"&amp;Master_Dataset!$AH27&amp;"|")),1,0)</f>
        <v>1</v>
      </c>
      <c r="C27" s="60" t="n">
        <f aca="false">IF(ISNUMBER(SEARCH("|SEPARATION_LOSS|","|"&amp;Master_Dataset!$AH27&amp;"|")),1,0)</f>
        <v>1</v>
      </c>
      <c r="D27" s="60" t="n">
        <f aca="false">IF(ISNUMBER(SEARCH("|FAMILY|","|"&amp;Master_Dataset!$AH27&amp;"|")),1,0)</f>
        <v>0</v>
      </c>
      <c r="E27" s="60" t="n">
        <f aca="false">IF(ISNUMBER(SEARCH("|MONEY_MATERIALISM|","|"&amp;Master_Dataset!$AH27&amp;"|")),1,0)</f>
        <v>0</v>
      </c>
      <c r="F27" s="60" t="n">
        <f aca="false">IF(ISNUMBER(SEARCH("|CLASS_INEQUALITY_CRITIQUE|","|"&amp;Master_Dataset!$AH27&amp;"|")),1,0)</f>
        <v>0</v>
      </c>
      <c r="G27" s="60" t="n">
        <f aca="false">IF(ISNUMBER(SEARCH("|CONSUMER_STATUS|","|"&amp;Master_Dataset!$AH27&amp;"|")),1,0)</f>
        <v>0</v>
      </c>
      <c r="H27" s="60" t="n">
        <f aca="false">IF(ISNUMBER(SEARCH("|MIGRATION|","|"&amp;Master_Dataset!$AH27&amp;"|")),1,0)</f>
        <v>0</v>
      </c>
      <c r="I27" s="60" t="n">
        <f aca="false">IF(ISNUMBER(SEARCH("|EDUCATION|","|"&amp;Master_Dataset!$AH27&amp;"|")),1,0)</f>
        <v>0</v>
      </c>
      <c r="J27" s="60" t="n">
        <f aca="false">IF(ISNUMBER(SEARCH("|DRIVER_IDENTITY|","|"&amp;Master_Dataset!$AH27&amp;"|")),1,0)</f>
        <v>0</v>
      </c>
      <c r="K27" s="60" t="n">
        <f aca="false">IF(ISNUMBER(SEARCH("|LABOR_DIGNITY|","|"&amp;Master_Dataset!$AH27&amp;"|")),1,0)</f>
        <v>0</v>
      </c>
      <c r="L27" s="60" t="n">
        <f aca="false">IF(ISNUMBER(SEARCH("|FARE_LIVELIHOOD|","|"&amp;Master_Dataset!$AH27&amp;"|")),1,0)</f>
        <v>0</v>
      </c>
      <c r="M27" s="60" t="n">
        <f aca="false">IF(ISNUMBER(SEARCH("|MASCULINITY|","|"&amp;Master_Dataset!$AH27&amp;"|")),1,0)</f>
        <v>0</v>
      </c>
      <c r="N27" s="60" t="n">
        <f aca="false">IF(ISNUMBER(SEARCH("|WOMEN_REPRESENTATION|","|"&amp;Master_Dataset!$AH27&amp;"|")),1,0)</f>
        <v>0</v>
      </c>
      <c r="O27" s="60" t="n">
        <f aca="false">IF(ISNUMBER(SEARCH("|SELF_RESPECT|","|"&amp;Master_Dataset!$AH27&amp;"|")),1,0)</f>
        <v>0</v>
      </c>
      <c r="P27" s="60" t="n">
        <f aca="false">IF(ISNUMBER(SEARCH("|DISTRUST_HYPOCRISY|","|"&amp;Master_Dataset!$AH27&amp;"|")),1,0)</f>
        <v>0</v>
      </c>
      <c r="Q27" s="60" t="n">
        <f aca="false">IF(ISNUMBER(SEARCH("|MORAL_ADVICE|","|"&amp;Master_Dataset!$AH27&amp;"|")),1,0)</f>
        <v>0</v>
      </c>
      <c r="R27" s="60" t="n">
        <f aca="false">IF(ISNUMBER(SEARCH("|HOPE_RESILIENCE|","|"&amp;Master_Dataset!$AH27&amp;"|")),1,0)</f>
        <v>1</v>
      </c>
      <c r="S27" s="60" t="n">
        <f aca="false">IF(ISNUMBER(SEARCH("|RELIGION_FATE|","|"&amp;Master_Dataset!$AH27&amp;"|")),1,0)</f>
        <v>0</v>
      </c>
      <c r="T27" s="60" t="n">
        <f aca="false">IF(ISNUMBER(SEARCH("|MORTALITY_RISK|","|"&amp;Master_Dataset!$AH27&amp;"|")),1,0)</f>
        <v>0</v>
      </c>
      <c r="U27" s="60" t="n">
        <f aca="false">IF(ISNUMBER(SEARCH("|INSTITUTION_CRITIQUE|","|"&amp;Master_Dataset!$AH27&amp;"|")),1,0)</f>
        <v>0</v>
      </c>
      <c r="V27" s="60" t="n">
        <f aca="false">IF(ISNUMBER(SEARCH("|PLACE_IDENTITY|","|"&amp;Master_Dataset!$AH27&amp;"|")),1,0)</f>
        <v>0</v>
      </c>
      <c r="W27" s="60" t="n">
        <f aca="false">IF(ISNUMBER(SEARCH("|HUMOR|","|"&amp;Master_Dataset!$AH27&amp;"|")),1,0)</f>
        <v>0</v>
      </c>
      <c r="X27" s="60" t="n">
        <f aca="false">IF(ISNUMBER(SEARCH("|CODE_MIXING_SLANG|","|"&amp;Master_Dataset!$AH27&amp;"|")),1,0)</f>
        <v>0</v>
      </c>
    </row>
    <row r="28" customFormat="false" ht="15" hidden="false" customHeight="true" outlineLevel="0" collapsed="false">
      <c r="A28" s="60" t="n">
        <f aca="false">Master_Dataset!A28</f>
        <v>27</v>
      </c>
      <c r="B28" s="60" t="n">
        <f aca="false">IF(ISNUMBER(SEARCH("|LOVE_ROMANCE|","|"&amp;Master_Dataset!$AH28&amp;"|")),1,0)</f>
        <v>0</v>
      </c>
      <c r="C28" s="60" t="n">
        <f aca="false">IF(ISNUMBER(SEARCH("|SEPARATION_LOSS|","|"&amp;Master_Dataset!$AH28&amp;"|")),1,0)</f>
        <v>0</v>
      </c>
      <c r="D28" s="60" t="n">
        <f aca="false">IF(ISNUMBER(SEARCH("|FAMILY|","|"&amp;Master_Dataset!$AH28&amp;"|")),1,0)</f>
        <v>0</v>
      </c>
      <c r="E28" s="60" t="n">
        <f aca="false">IF(ISNUMBER(SEARCH("|MONEY_MATERIALISM|","|"&amp;Master_Dataset!$AH28&amp;"|")),1,0)</f>
        <v>0</v>
      </c>
      <c r="F28" s="60" t="n">
        <f aca="false">IF(ISNUMBER(SEARCH("|CLASS_INEQUALITY_CRITIQUE|","|"&amp;Master_Dataset!$AH28&amp;"|")),1,0)</f>
        <v>0</v>
      </c>
      <c r="G28" s="60" t="n">
        <f aca="false">IF(ISNUMBER(SEARCH("|CONSUMER_STATUS|","|"&amp;Master_Dataset!$AH28&amp;"|")),1,0)</f>
        <v>0</v>
      </c>
      <c r="H28" s="60" t="n">
        <f aca="false">IF(ISNUMBER(SEARCH("|MIGRATION|","|"&amp;Master_Dataset!$AH28&amp;"|")),1,0)</f>
        <v>0</v>
      </c>
      <c r="I28" s="60" t="n">
        <f aca="false">IF(ISNUMBER(SEARCH("|EDUCATION|","|"&amp;Master_Dataset!$AH28&amp;"|")),1,0)</f>
        <v>0</v>
      </c>
      <c r="J28" s="60" t="n">
        <f aca="false">IF(ISNUMBER(SEARCH("|DRIVER_IDENTITY|","|"&amp;Master_Dataset!$AH28&amp;"|")),1,0)</f>
        <v>0</v>
      </c>
      <c r="K28" s="60" t="n">
        <f aca="false">IF(ISNUMBER(SEARCH("|LABOR_DIGNITY|","|"&amp;Master_Dataset!$AH28&amp;"|")),1,0)</f>
        <v>0</v>
      </c>
      <c r="L28" s="60" t="n">
        <f aca="false">IF(ISNUMBER(SEARCH("|FARE_LIVELIHOOD|","|"&amp;Master_Dataset!$AH28&amp;"|")),1,0)</f>
        <v>0</v>
      </c>
      <c r="M28" s="60" t="n">
        <f aca="false">IF(ISNUMBER(SEARCH("|MASCULINITY|","|"&amp;Master_Dataset!$AH28&amp;"|")),1,0)</f>
        <v>0</v>
      </c>
      <c r="N28" s="60" t="n">
        <f aca="false">IF(ISNUMBER(SEARCH("|WOMEN_REPRESENTATION|","|"&amp;Master_Dataset!$AH28&amp;"|")),1,0)</f>
        <v>0</v>
      </c>
      <c r="O28" s="60" t="n">
        <f aca="false">IF(ISNUMBER(SEARCH("|SELF_RESPECT|","|"&amp;Master_Dataset!$AH28&amp;"|")),1,0)</f>
        <v>0</v>
      </c>
      <c r="P28" s="60" t="n">
        <f aca="false">IF(ISNUMBER(SEARCH("|DISTRUST_HYPOCRISY|","|"&amp;Master_Dataset!$AH28&amp;"|")),1,0)</f>
        <v>1</v>
      </c>
      <c r="Q28" s="60" t="n">
        <f aca="false">IF(ISNUMBER(SEARCH("|MORAL_ADVICE|","|"&amp;Master_Dataset!$AH28&amp;"|")),1,0)</f>
        <v>1</v>
      </c>
      <c r="R28" s="60" t="n">
        <f aca="false">IF(ISNUMBER(SEARCH("|HOPE_RESILIENCE|","|"&amp;Master_Dataset!$AH28&amp;"|")),1,0)</f>
        <v>0</v>
      </c>
      <c r="S28" s="60" t="n">
        <f aca="false">IF(ISNUMBER(SEARCH("|RELIGION_FATE|","|"&amp;Master_Dataset!$AH28&amp;"|")),1,0)</f>
        <v>0</v>
      </c>
      <c r="T28" s="60" t="n">
        <f aca="false">IF(ISNUMBER(SEARCH("|MORTALITY_RISK|","|"&amp;Master_Dataset!$AH28&amp;"|")),1,0)</f>
        <v>0</v>
      </c>
      <c r="U28" s="60" t="n">
        <f aca="false">IF(ISNUMBER(SEARCH("|INSTITUTION_CRITIQUE|","|"&amp;Master_Dataset!$AH28&amp;"|")),1,0)</f>
        <v>0</v>
      </c>
      <c r="V28" s="60" t="n">
        <f aca="false">IF(ISNUMBER(SEARCH("|PLACE_IDENTITY|","|"&amp;Master_Dataset!$AH28&amp;"|")),1,0)</f>
        <v>0</v>
      </c>
      <c r="W28" s="60" t="n">
        <f aca="false">IF(ISNUMBER(SEARCH("|HUMOR|","|"&amp;Master_Dataset!$AH28&amp;"|")),1,0)</f>
        <v>0</v>
      </c>
      <c r="X28" s="60" t="n">
        <f aca="false">IF(ISNUMBER(SEARCH("|CODE_MIXING_SLANG|","|"&amp;Master_Dataset!$AH28&amp;"|")),1,0)</f>
        <v>0</v>
      </c>
    </row>
    <row r="29" customFormat="false" ht="15" hidden="false" customHeight="true" outlineLevel="0" collapsed="false">
      <c r="A29" s="60" t="n">
        <f aca="false">Master_Dataset!A29</f>
        <v>28</v>
      </c>
      <c r="B29" s="60" t="n">
        <f aca="false">IF(ISNUMBER(SEARCH("|LOVE_ROMANCE|","|"&amp;Master_Dataset!$AH29&amp;"|")),1,0)</f>
        <v>0</v>
      </c>
      <c r="C29" s="60" t="n">
        <f aca="false">IF(ISNUMBER(SEARCH("|SEPARATION_LOSS|","|"&amp;Master_Dataset!$AH29&amp;"|")),1,0)</f>
        <v>0</v>
      </c>
      <c r="D29" s="60" t="n">
        <f aca="false">IF(ISNUMBER(SEARCH("|FAMILY|","|"&amp;Master_Dataset!$AH29&amp;"|")),1,0)</f>
        <v>0</v>
      </c>
      <c r="E29" s="60" t="n">
        <f aca="false">IF(ISNUMBER(SEARCH("|MONEY_MATERIALISM|","|"&amp;Master_Dataset!$AH29&amp;"|")),1,0)</f>
        <v>1</v>
      </c>
      <c r="F29" s="60" t="n">
        <f aca="false">IF(ISNUMBER(SEARCH("|CLASS_INEQUALITY_CRITIQUE|","|"&amp;Master_Dataset!$AH29&amp;"|")),1,0)</f>
        <v>1</v>
      </c>
      <c r="G29" s="60" t="n">
        <f aca="false">IF(ISNUMBER(SEARCH("|CONSUMER_STATUS|","|"&amp;Master_Dataset!$AH29&amp;"|")),1,0)</f>
        <v>0</v>
      </c>
      <c r="H29" s="60" t="n">
        <f aca="false">IF(ISNUMBER(SEARCH("|MIGRATION|","|"&amp;Master_Dataset!$AH29&amp;"|")),1,0)</f>
        <v>0</v>
      </c>
      <c r="I29" s="60" t="n">
        <f aca="false">IF(ISNUMBER(SEARCH("|EDUCATION|","|"&amp;Master_Dataset!$AH29&amp;"|")),1,0)</f>
        <v>0</v>
      </c>
      <c r="J29" s="60" t="n">
        <f aca="false">IF(ISNUMBER(SEARCH("|DRIVER_IDENTITY|","|"&amp;Master_Dataset!$AH29&amp;"|")),1,0)</f>
        <v>0</v>
      </c>
      <c r="K29" s="60" t="n">
        <f aca="false">IF(ISNUMBER(SEARCH("|LABOR_DIGNITY|","|"&amp;Master_Dataset!$AH29&amp;"|")),1,0)</f>
        <v>0</v>
      </c>
      <c r="L29" s="60" t="n">
        <f aca="false">IF(ISNUMBER(SEARCH("|FARE_LIVELIHOOD|","|"&amp;Master_Dataset!$AH29&amp;"|")),1,0)</f>
        <v>0</v>
      </c>
      <c r="M29" s="60" t="n">
        <f aca="false">IF(ISNUMBER(SEARCH("|MASCULINITY|","|"&amp;Master_Dataset!$AH29&amp;"|")),1,0)</f>
        <v>0</v>
      </c>
      <c r="N29" s="60" t="n">
        <f aca="false">IF(ISNUMBER(SEARCH("|WOMEN_REPRESENTATION|","|"&amp;Master_Dataset!$AH29&amp;"|")),1,0)</f>
        <v>0</v>
      </c>
      <c r="O29" s="60" t="n">
        <f aca="false">IF(ISNUMBER(SEARCH("|SELF_RESPECT|","|"&amp;Master_Dataset!$AH29&amp;"|")),1,0)</f>
        <v>0</v>
      </c>
      <c r="P29" s="60" t="n">
        <f aca="false">IF(ISNUMBER(SEARCH("|DISTRUST_HYPOCRISY|","|"&amp;Master_Dataset!$AH29&amp;"|")),1,0)</f>
        <v>0</v>
      </c>
      <c r="Q29" s="60" t="n">
        <f aca="false">IF(ISNUMBER(SEARCH("|MORAL_ADVICE|","|"&amp;Master_Dataset!$AH29&amp;"|")),1,0)</f>
        <v>0</v>
      </c>
      <c r="R29" s="60" t="n">
        <f aca="false">IF(ISNUMBER(SEARCH("|HOPE_RESILIENCE|","|"&amp;Master_Dataset!$AH29&amp;"|")),1,0)</f>
        <v>0</v>
      </c>
      <c r="S29" s="60" t="n">
        <f aca="false">IF(ISNUMBER(SEARCH("|RELIGION_FATE|","|"&amp;Master_Dataset!$AH29&amp;"|")),1,0)</f>
        <v>0</v>
      </c>
      <c r="T29" s="60" t="n">
        <f aca="false">IF(ISNUMBER(SEARCH("|MORTALITY_RISK|","|"&amp;Master_Dataset!$AH29&amp;"|")),1,0)</f>
        <v>0</v>
      </c>
      <c r="U29" s="60" t="n">
        <f aca="false">IF(ISNUMBER(SEARCH("|INSTITUTION_CRITIQUE|","|"&amp;Master_Dataset!$AH29&amp;"|")),1,0)</f>
        <v>0</v>
      </c>
      <c r="V29" s="60" t="n">
        <f aca="false">IF(ISNUMBER(SEARCH("|PLACE_IDENTITY|","|"&amp;Master_Dataset!$AH29&amp;"|")),1,0)</f>
        <v>0</v>
      </c>
      <c r="W29" s="60" t="n">
        <f aca="false">IF(ISNUMBER(SEARCH("|HUMOR|","|"&amp;Master_Dataset!$AH29&amp;"|")),1,0)</f>
        <v>0</v>
      </c>
      <c r="X29" s="60" t="n">
        <f aca="false">IF(ISNUMBER(SEARCH("|CODE_MIXING_SLANG|","|"&amp;Master_Dataset!$AH29&amp;"|")),1,0)</f>
        <v>0</v>
      </c>
    </row>
    <row r="30" customFormat="false" ht="15" hidden="false" customHeight="true" outlineLevel="0" collapsed="false">
      <c r="A30" s="60" t="n">
        <f aca="false">Master_Dataset!A30</f>
        <v>29</v>
      </c>
      <c r="B30" s="60" t="n">
        <f aca="false">IF(ISNUMBER(SEARCH("|LOVE_ROMANCE|","|"&amp;Master_Dataset!$AH30&amp;"|")),1,0)</f>
        <v>0</v>
      </c>
      <c r="C30" s="60" t="n">
        <f aca="false">IF(ISNUMBER(SEARCH("|SEPARATION_LOSS|","|"&amp;Master_Dataset!$AH30&amp;"|")),1,0)</f>
        <v>0</v>
      </c>
      <c r="D30" s="60" t="n">
        <f aca="false">IF(ISNUMBER(SEARCH("|FAMILY|","|"&amp;Master_Dataset!$AH30&amp;"|")),1,0)</f>
        <v>1</v>
      </c>
      <c r="E30" s="60" t="n">
        <f aca="false">IF(ISNUMBER(SEARCH("|MONEY_MATERIALISM|","|"&amp;Master_Dataset!$AH30&amp;"|")),1,0)</f>
        <v>0</v>
      </c>
      <c r="F30" s="60" t="n">
        <f aca="false">IF(ISNUMBER(SEARCH("|CLASS_INEQUALITY_CRITIQUE|","|"&amp;Master_Dataset!$AH30&amp;"|")),1,0)</f>
        <v>0</v>
      </c>
      <c r="G30" s="60" t="n">
        <f aca="false">IF(ISNUMBER(SEARCH("|CONSUMER_STATUS|","|"&amp;Master_Dataset!$AH30&amp;"|")),1,0)</f>
        <v>0</v>
      </c>
      <c r="H30" s="60" t="n">
        <f aca="false">IF(ISNUMBER(SEARCH("|MIGRATION|","|"&amp;Master_Dataset!$AH30&amp;"|")),1,0)</f>
        <v>0</v>
      </c>
      <c r="I30" s="60" t="n">
        <f aca="false">IF(ISNUMBER(SEARCH("|EDUCATION|","|"&amp;Master_Dataset!$AH30&amp;"|")),1,0)</f>
        <v>0</v>
      </c>
      <c r="J30" s="60" t="n">
        <f aca="false">IF(ISNUMBER(SEARCH("|DRIVER_IDENTITY|","|"&amp;Master_Dataset!$AH30&amp;"|")),1,0)</f>
        <v>0</v>
      </c>
      <c r="K30" s="60" t="n">
        <f aca="false">IF(ISNUMBER(SEARCH("|LABOR_DIGNITY|","|"&amp;Master_Dataset!$AH30&amp;"|")),1,0)</f>
        <v>0</v>
      </c>
      <c r="L30" s="60" t="n">
        <f aca="false">IF(ISNUMBER(SEARCH("|FARE_LIVELIHOOD|","|"&amp;Master_Dataset!$AH30&amp;"|")),1,0)</f>
        <v>0</v>
      </c>
      <c r="M30" s="60" t="n">
        <f aca="false">IF(ISNUMBER(SEARCH("|MASCULINITY|","|"&amp;Master_Dataset!$AH30&amp;"|")),1,0)</f>
        <v>0</v>
      </c>
      <c r="N30" s="60" t="n">
        <f aca="false">IF(ISNUMBER(SEARCH("|WOMEN_REPRESENTATION|","|"&amp;Master_Dataset!$AH30&amp;"|")),1,0)</f>
        <v>0</v>
      </c>
      <c r="O30" s="60" t="n">
        <f aca="false">IF(ISNUMBER(SEARCH("|SELF_RESPECT|","|"&amp;Master_Dataset!$AH30&amp;"|")),1,0)</f>
        <v>0</v>
      </c>
      <c r="P30" s="60" t="n">
        <f aca="false">IF(ISNUMBER(SEARCH("|DISTRUST_HYPOCRISY|","|"&amp;Master_Dataset!$AH30&amp;"|")),1,0)</f>
        <v>0</v>
      </c>
      <c r="Q30" s="60" t="n">
        <f aca="false">IF(ISNUMBER(SEARCH("|MORAL_ADVICE|","|"&amp;Master_Dataset!$AH30&amp;"|")),1,0)</f>
        <v>0</v>
      </c>
      <c r="R30" s="60" t="n">
        <f aca="false">IF(ISNUMBER(SEARCH("|HOPE_RESILIENCE|","|"&amp;Master_Dataset!$AH30&amp;"|")),1,0)</f>
        <v>1</v>
      </c>
      <c r="S30" s="60" t="n">
        <f aca="false">IF(ISNUMBER(SEARCH("|RELIGION_FATE|","|"&amp;Master_Dataset!$AH30&amp;"|")),1,0)</f>
        <v>0</v>
      </c>
      <c r="T30" s="60" t="n">
        <f aca="false">IF(ISNUMBER(SEARCH("|MORTALITY_RISK|","|"&amp;Master_Dataset!$AH30&amp;"|")),1,0)</f>
        <v>0</v>
      </c>
      <c r="U30" s="60" t="n">
        <f aca="false">IF(ISNUMBER(SEARCH("|INSTITUTION_CRITIQUE|","|"&amp;Master_Dataset!$AH30&amp;"|")),1,0)</f>
        <v>0</v>
      </c>
      <c r="V30" s="60" t="n">
        <f aca="false">IF(ISNUMBER(SEARCH("|PLACE_IDENTITY|","|"&amp;Master_Dataset!$AH30&amp;"|")),1,0)</f>
        <v>0</v>
      </c>
      <c r="W30" s="60" t="n">
        <f aca="false">IF(ISNUMBER(SEARCH("|HUMOR|","|"&amp;Master_Dataset!$AH30&amp;"|")),1,0)</f>
        <v>0</v>
      </c>
      <c r="X30" s="60" t="n">
        <f aca="false">IF(ISNUMBER(SEARCH("|CODE_MIXING_SLANG|","|"&amp;Master_Dataset!$AH30&amp;"|")),1,0)</f>
        <v>0</v>
      </c>
    </row>
    <row r="31" customFormat="false" ht="15" hidden="false" customHeight="true" outlineLevel="0" collapsed="false">
      <c r="A31" s="60" t="n">
        <f aca="false">Master_Dataset!A31</f>
        <v>30</v>
      </c>
      <c r="B31" s="60" t="n">
        <f aca="false">IF(ISNUMBER(SEARCH("|LOVE_ROMANCE|","|"&amp;Master_Dataset!$AH31&amp;"|")),1,0)</f>
        <v>0</v>
      </c>
      <c r="C31" s="60" t="n">
        <f aca="false">IF(ISNUMBER(SEARCH("|SEPARATION_LOSS|","|"&amp;Master_Dataset!$AH31&amp;"|")),1,0)</f>
        <v>0</v>
      </c>
      <c r="D31" s="60" t="n">
        <f aca="false">IF(ISNUMBER(SEARCH("|FAMILY|","|"&amp;Master_Dataset!$AH31&amp;"|")),1,0)</f>
        <v>1</v>
      </c>
      <c r="E31" s="60" t="n">
        <f aca="false">IF(ISNUMBER(SEARCH("|MONEY_MATERIALISM|","|"&amp;Master_Dataset!$AH31&amp;"|")),1,0)</f>
        <v>1</v>
      </c>
      <c r="F31" s="60" t="n">
        <f aca="false">IF(ISNUMBER(SEARCH("|CLASS_INEQUALITY_CRITIQUE|","|"&amp;Master_Dataset!$AH31&amp;"|")),1,0)</f>
        <v>1</v>
      </c>
      <c r="G31" s="60" t="n">
        <f aca="false">IF(ISNUMBER(SEARCH("|CONSUMER_STATUS|","|"&amp;Master_Dataset!$AH31&amp;"|")),1,0)</f>
        <v>0</v>
      </c>
      <c r="H31" s="60" t="n">
        <f aca="false">IF(ISNUMBER(SEARCH("|MIGRATION|","|"&amp;Master_Dataset!$AH31&amp;"|")),1,0)</f>
        <v>0</v>
      </c>
      <c r="I31" s="60" t="n">
        <f aca="false">IF(ISNUMBER(SEARCH("|EDUCATION|","|"&amp;Master_Dataset!$AH31&amp;"|")),1,0)</f>
        <v>0</v>
      </c>
      <c r="J31" s="60" t="n">
        <f aca="false">IF(ISNUMBER(SEARCH("|DRIVER_IDENTITY|","|"&amp;Master_Dataset!$AH31&amp;"|")),1,0)</f>
        <v>0</v>
      </c>
      <c r="K31" s="60" t="n">
        <f aca="false">IF(ISNUMBER(SEARCH("|LABOR_DIGNITY|","|"&amp;Master_Dataset!$AH31&amp;"|")),1,0)</f>
        <v>0</v>
      </c>
      <c r="L31" s="60" t="n">
        <f aca="false">IF(ISNUMBER(SEARCH("|FARE_LIVELIHOOD|","|"&amp;Master_Dataset!$AH31&amp;"|")),1,0)</f>
        <v>0</v>
      </c>
      <c r="M31" s="60" t="n">
        <f aca="false">IF(ISNUMBER(SEARCH("|MASCULINITY|","|"&amp;Master_Dataset!$AH31&amp;"|")),1,0)</f>
        <v>0</v>
      </c>
      <c r="N31" s="60" t="n">
        <f aca="false">IF(ISNUMBER(SEARCH("|WOMEN_REPRESENTATION|","|"&amp;Master_Dataset!$AH31&amp;"|")),1,0)</f>
        <v>0</v>
      </c>
      <c r="O31" s="60" t="n">
        <f aca="false">IF(ISNUMBER(SEARCH("|SELF_RESPECT|","|"&amp;Master_Dataset!$AH31&amp;"|")),1,0)</f>
        <v>0</v>
      </c>
      <c r="P31" s="60" t="n">
        <f aca="false">IF(ISNUMBER(SEARCH("|DISTRUST_HYPOCRISY|","|"&amp;Master_Dataset!$AH31&amp;"|")),1,0)</f>
        <v>1</v>
      </c>
      <c r="Q31" s="60" t="n">
        <f aca="false">IF(ISNUMBER(SEARCH("|MORAL_ADVICE|","|"&amp;Master_Dataset!$AH31&amp;"|")),1,0)</f>
        <v>0</v>
      </c>
      <c r="R31" s="60" t="n">
        <f aca="false">IF(ISNUMBER(SEARCH("|HOPE_RESILIENCE|","|"&amp;Master_Dataset!$AH31&amp;"|")),1,0)</f>
        <v>0</v>
      </c>
      <c r="S31" s="60" t="n">
        <f aca="false">IF(ISNUMBER(SEARCH("|RELIGION_FATE|","|"&amp;Master_Dataset!$AH31&amp;"|")),1,0)</f>
        <v>0</v>
      </c>
      <c r="T31" s="60" t="n">
        <f aca="false">IF(ISNUMBER(SEARCH("|MORTALITY_RISK|","|"&amp;Master_Dataset!$AH31&amp;"|")),1,0)</f>
        <v>0</v>
      </c>
      <c r="U31" s="60" t="n">
        <f aca="false">IF(ISNUMBER(SEARCH("|INSTITUTION_CRITIQUE|","|"&amp;Master_Dataset!$AH31&amp;"|")),1,0)</f>
        <v>0</v>
      </c>
      <c r="V31" s="60" t="n">
        <f aca="false">IF(ISNUMBER(SEARCH("|PLACE_IDENTITY|","|"&amp;Master_Dataset!$AH31&amp;"|")),1,0)</f>
        <v>0</v>
      </c>
      <c r="W31" s="60" t="n">
        <f aca="false">IF(ISNUMBER(SEARCH("|HUMOR|","|"&amp;Master_Dataset!$AH31&amp;"|")),1,0)</f>
        <v>0</v>
      </c>
      <c r="X31" s="60" t="n">
        <f aca="false">IF(ISNUMBER(SEARCH("|CODE_MIXING_SLANG|","|"&amp;Master_Dataset!$AH31&amp;"|")),1,0)</f>
        <v>0</v>
      </c>
    </row>
    <row r="32" customFormat="false" ht="15" hidden="false" customHeight="true" outlineLevel="0" collapsed="false">
      <c r="A32" s="60" t="n">
        <f aca="false">Master_Dataset!A32</f>
        <v>31</v>
      </c>
      <c r="B32" s="60" t="n">
        <f aca="false">IF(ISNUMBER(SEARCH("|LOVE_ROMANCE|","|"&amp;Master_Dataset!$AH32&amp;"|")),1,0)</f>
        <v>0</v>
      </c>
      <c r="C32" s="60" t="n">
        <f aca="false">IF(ISNUMBER(SEARCH("|SEPARATION_LOSS|","|"&amp;Master_Dataset!$AH32&amp;"|")),1,0)</f>
        <v>0</v>
      </c>
      <c r="D32" s="60" t="n">
        <f aca="false">IF(ISNUMBER(SEARCH("|FAMILY|","|"&amp;Master_Dataset!$AH32&amp;"|")),1,0)</f>
        <v>0</v>
      </c>
      <c r="E32" s="60" t="n">
        <f aca="false">IF(ISNUMBER(SEARCH("|MONEY_MATERIALISM|","|"&amp;Master_Dataset!$AH32&amp;"|")),1,0)</f>
        <v>0</v>
      </c>
      <c r="F32" s="60" t="n">
        <f aca="false">IF(ISNUMBER(SEARCH("|CLASS_INEQUALITY_CRITIQUE|","|"&amp;Master_Dataset!$AH32&amp;"|")),1,0)</f>
        <v>1</v>
      </c>
      <c r="G32" s="60" t="n">
        <f aca="false">IF(ISNUMBER(SEARCH("|CONSUMER_STATUS|","|"&amp;Master_Dataset!$AH32&amp;"|")),1,0)</f>
        <v>0</v>
      </c>
      <c r="H32" s="60" t="n">
        <f aca="false">IF(ISNUMBER(SEARCH("|MIGRATION|","|"&amp;Master_Dataset!$AH32&amp;"|")),1,0)</f>
        <v>0</v>
      </c>
      <c r="I32" s="60" t="n">
        <f aca="false">IF(ISNUMBER(SEARCH("|EDUCATION|","|"&amp;Master_Dataset!$AH32&amp;"|")),1,0)</f>
        <v>0</v>
      </c>
      <c r="J32" s="60" t="n">
        <f aca="false">IF(ISNUMBER(SEARCH("|DRIVER_IDENTITY|","|"&amp;Master_Dataset!$AH32&amp;"|")),1,0)</f>
        <v>0</v>
      </c>
      <c r="K32" s="60" t="n">
        <f aca="false">IF(ISNUMBER(SEARCH("|LABOR_DIGNITY|","|"&amp;Master_Dataset!$AH32&amp;"|")),1,0)</f>
        <v>0</v>
      </c>
      <c r="L32" s="60" t="n">
        <f aca="false">IF(ISNUMBER(SEARCH("|FARE_LIVELIHOOD|","|"&amp;Master_Dataset!$AH32&amp;"|")),1,0)</f>
        <v>0</v>
      </c>
      <c r="M32" s="60" t="n">
        <f aca="false">IF(ISNUMBER(SEARCH("|MASCULINITY|","|"&amp;Master_Dataset!$AH32&amp;"|")),1,0)</f>
        <v>0</v>
      </c>
      <c r="N32" s="60" t="n">
        <f aca="false">IF(ISNUMBER(SEARCH("|WOMEN_REPRESENTATION|","|"&amp;Master_Dataset!$AH32&amp;"|")),1,0)</f>
        <v>0</v>
      </c>
      <c r="O32" s="60" t="n">
        <f aca="false">IF(ISNUMBER(SEARCH("|SELF_RESPECT|","|"&amp;Master_Dataset!$AH32&amp;"|")),1,0)</f>
        <v>0</v>
      </c>
      <c r="P32" s="60" t="n">
        <f aca="false">IF(ISNUMBER(SEARCH("|DISTRUST_HYPOCRISY|","|"&amp;Master_Dataset!$AH32&amp;"|")),1,0)</f>
        <v>0</v>
      </c>
      <c r="Q32" s="60" t="n">
        <f aca="false">IF(ISNUMBER(SEARCH("|MORAL_ADVICE|","|"&amp;Master_Dataset!$AH32&amp;"|")),1,0)</f>
        <v>0</v>
      </c>
      <c r="R32" s="60" t="n">
        <f aca="false">IF(ISNUMBER(SEARCH("|HOPE_RESILIENCE|","|"&amp;Master_Dataset!$AH32&amp;"|")),1,0)</f>
        <v>0</v>
      </c>
      <c r="S32" s="60" t="n">
        <f aca="false">IF(ISNUMBER(SEARCH("|RELIGION_FATE|","|"&amp;Master_Dataset!$AH32&amp;"|")),1,0)</f>
        <v>0</v>
      </c>
      <c r="T32" s="60" t="n">
        <f aca="false">IF(ISNUMBER(SEARCH("|MORTALITY_RISK|","|"&amp;Master_Dataset!$AH32&amp;"|")),1,0)</f>
        <v>1</v>
      </c>
      <c r="U32" s="60" t="n">
        <f aca="false">IF(ISNUMBER(SEARCH("|INSTITUTION_CRITIQUE|","|"&amp;Master_Dataset!$AH32&amp;"|")),1,0)</f>
        <v>0</v>
      </c>
      <c r="V32" s="60" t="n">
        <f aca="false">IF(ISNUMBER(SEARCH("|PLACE_IDENTITY|","|"&amp;Master_Dataset!$AH32&amp;"|")),1,0)</f>
        <v>0</v>
      </c>
      <c r="W32" s="60" t="n">
        <f aca="false">IF(ISNUMBER(SEARCH("|HUMOR|","|"&amp;Master_Dataset!$AH32&amp;"|")),1,0)</f>
        <v>0</v>
      </c>
      <c r="X32" s="60" t="n">
        <f aca="false">IF(ISNUMBER(SEARCH("|CODE_MIXING_SLANG|","|"&amp;Master_Dataset!$AH32&amp;"|")),1,0)</f>
        <v>0</v>
      </c>
    </row>
    <row r="33" customFormat="false" ht="15" hidden="false" customHeight="true" outlineLevel="0" collapsed="false">
      <c r="A33" s="60" t="n">
        <f aca="false">Master_Dataset!A33</f>
        <v>32</v>
      </c>
      <c r="B33" s="60" t="n">
        <f aca="false">IF(ISNUMBER(SEARCH("|LOVE_ROMANCE|","|"&amp;Master_Dataset!$AH33&amp;"|")),1,0)</f>
        <v>0</v>
      </c>
      <c r="C33" s="60" t="n">
        <f aca="false">IF(ISNUMBER(SEARCH("|SEPARATION_LOSS|","|"&amp;Master_Dataset!$AH33&amp;"|")),1,0)</f>
        <v>0</v>
      </c>
      <c r="D33" s="60" t="n">
        <f aca="false">IF(ISNUMBER(SEARCH("|FAMILY|","|"&amp;Master_Dataset!$AH33&amp;"|")),1,0)</f>
        <v>0</v>
      </c>
      <c r="E33" s="60" t="n">
        <f aca="false">IF(ISNUMBER(SEARCH("|MONEY_MATERIALISM|","|"&amp;Master_Dataset!$AH33&amp;"|")),1,0)</f>
        <v>0</v>
      </c>
      <c r="F33" s="60" t="n">
        <f aca="false">IF(ISNUMBER(SEARCH("|CLASS_INEQUALITY_CRITIQUE|","|"&amp;Master_Dataset!$AH33&amp;"|")),1,0)</f>
        <v>0</v>
      </c>
      <c r="G33" s="60" t="n">
        <f aca="false">IF(ISNUMBER(SEARCH("|CONSUMER_STATUS|","|"&amp;Master_Dataset!$AH33&amp;"|")),1,0)</f>
        <v>0</v>
      </c>
      <c r="H33" s="60" t="n">
        <f aca="false">IF(ISNUMBER(SEARCH("|MIGRATION|","|"&amp;Master_Dataset!$AH33&amp;"|")),1,0)</f>
        <v>0</v>
      </c>
      <c r="I33" s="60" t="n">
        <f aca="false">IF(ISNUMBER(SEARCH("|EDUCATION|","|"&amp;Master_Dataset!$AH33&amp;"|")),1,0)</f>
        <v>0</v>
      </c>
      <c r="J33" s="60" t="n">
        <f aca="false">IF(ISNUMBER(SEARCH("|DRIVER_IDENTITY|","|"&amp;Master_Dataset!$AH33&amp;"|")),1,0)</f>
        <v>0</v>
      </c>
      <c r="K33" s="60" t="n">
        <f aca="false">IF(ISNUMBER(SEARCH("|LABOR_DIGNITY|","|"&amp;Master_Dataset!$AH33&amp;"|")),1,0)</f>
        <v>0</v>
      </c>
      <c r="L33" s="60" t="n">
        <f aca="false">IF(ISNUMBER(SEARCH("|FARE_LIVELIHOOD|","|"&amp;Master_Dataset!$AH33&amp;"|")),1,0)</f>
        <v>0</v>
      </c>
      <c r="M33" s="60" t="n">
        <f aca="false">IF(ISNUMBER(SEARCH("|MASCULINITY|","|"&amp;Master_Dataset!$AH33&amp;"|")),1,0)</f>
        <v>1</v>
      </c>
      <c r="N33" s="60" t="n">
        <f aca="false">IF(ISNUMBER(SEARCH("|WOMEN_REPRESENTATION|","|"&amp;Master_Dataset!$AH33&amp;"|")),1,0)</f>
        <v>0</v>
      </c>
      <c r="O33" s="60" t="n">
        <f aca="false">IF(ISNUMBER(SEARCH("|SELF_RESPECT|","|"&amp;Master_Dataset!$AH33&amp;"|")),1,0)</f>
        <v>1</v>
      </c>
      <c r="P33" s="60" t="n">
        <f aca="false">IF(ISNUMBER(SEARCH("|DISTRUST_HYPOCRISY|","|"&amp;Master_Dataset!$AH33&amp;"|")),1,0)</f>
        <v>0</v>
      </c>
      <c r="Q33" s="60" t="n">
        <f aca="false">IF(ISNUMBER(SEARCH("|MORAL_ADVICE|","|"&amp;Master_Dataset!$AH33&amp;"|")),1,0)</f>
        <v>1</v>
      </c>
      <c r="R33" s="60" t="n">
        <f aca="false">IF(ISNUMBER(SEARCH("|HOPE_RESILIENCE|","|"&amp;Master_Dataset!$AH33&amp;"|")),1,0)</f>
        <v>0</v>
      </c>
      <c r="S33" s="60" t="n">
        <f aca="false">IF(ISNUMBER(SEARCH("|RELIGION_FATE|","|"&amp;Master_Dataset!$AH33&amp;"|")),1,0)</f>
        <v>0</v>
      </c>
      <c r="T33" s="60" t="n">
        <f aca="false">IF(ISNUMBER(SEARCH("|MORTALITY_RISK|","|"&amp;Master_Dataset!$AH33&amp;"|")),1,0)</f>
        <v>0</v>
      </c>
      <c r="U33" s="60" t="n">
        <f aca="false">IF(ISNUMBER(SEARCH("|INSTITUTION_CRITIQUE|","|"&amp;Master_Dataset!$AH33&amp;"|")),1,0)</f>
        <v>0</v>
      </c>
      <c r="V33" s="60" t="n">
        <f aca="false">IF(ISNUMBER(SEARCH("|PLACE_IDENTITY|","|"&amp;Master_Dataset!$AH33&amp;"|")),1,0)</f>
        <v>0</v>
      </c>
      <c r="W33" s="60" t="n">
        <f aca="false">IF(ISNUMBER(SEARCH("|HUMOR|","|"&amp;Master_Dataset!$AH33&amp;"|")),1,0)</f>
        <v>0</v>
      </c>
      <c r="X33" s="60" t="n">
        <f aca="false">IF(ISNUMBER(SEARCH("|CODE_MIXING_SLANG|","|"&amp;Master_Dataset!$AH33&amp;"|")),1,0)</f>
        <v>0</v>
      </c>
    </row>
    <row r="34" customFormat="false" ht="15" hidden="false" customHeight="true" outlineLevel="0" collapsed="false">
      <c r="A34" s="60" t="n">
        <f aca="false">Master_Dataset!A34</f>
        <v>33</v>
      </c>
      <c r="B34" s="60" t="n">
        <f aca="false">IF(ISNUMBER(SEARCH("|LOVE_ROMANCE|","|"&amp;Master_Dataset!$AH34&amp;"|")),1,0)</f>
        <v>1</v>
      </c>
      <c r="C34" s="60" t="n">
        <f aca="false">IF(ISNUMBER(SEARCH("|SEPARATION_LOSS|","|"&amp;Master_Dataset!$AH34&amp;"|")),1,0)</f>
        <v>0</v>
      </c>
      <c r="D34" s="60" t="n">
        <f aca="false">IF(ISNUMBER(SEARCH("|FAMILY|","|"&amp;Master_Dataset!$AH34&amp;"|")),1,0)</f>
        <v>0</v>
      </c>
      <c r="E34" s="60" t="n">
        <f aca="false">IF(ISNUMBER(SEARCH("|MONEY_MATERIALISM|","|"&amp;Master_Dataset!$AH34&amp;"|")),1,0)</f>
        <v>0</v>
      </c>
      <c r="F34" s="60" t="n">
        <f aca="false">IF(ISNUMBER(SEARCH("|CLASS_INEQUALITY_CRITIQUE|","|"&amp;Master_Dataset!$AH34&amp;"|")),1,0)</f>
        <v>0</v>
      </c>
      <c r="G34" s="60" t="n">
        <f aca="false">IF(ISNUMBER(SEARCH("|CONSUMER_STATUS|","|"&amp;Master_Dataset!$AH34&amp;"|")),1,0)</f>
        <v>0</v>
      </c>
      <c r="H34" s="60" t="n">
        <f aca="false">IF(ISNUMBER(SEARCH("|MIGRATION|","|"&amp;Master_Dataset!$AH34&amp;"|")),1,0)</f>
        <v>0</v>
      </c>
      <c r="I34" s="60" t="n">
        <f aca="false">IF(ISNUMBER(SEARCH("|EDUCATION|","|"&amp;Master_Dataset!$AH34&amp;"|")),1,0)</f>
        <v>0</v>
      </c>
      <c r="J34" s="60" t="n">
        <f aca="false">IF(ISNUMBER(SEARCH("|DRIVER_IDENTITY|","|"&amp;Master_Dataset!$AH34&amp;"|")),1,0)</f>
        <v>0</v>
      </c>
      <c r="K34" s="60" t="n">
        <f aca="false">IF(ISNUMBER(SEARCH("|LABOR_DIGNITY|","|"&amp;Master_Dataset!$AH34&amp;"|")),1,0)</f>
        <v>0</v>
      </c>
      <c r="L34" s="60" t="n">
        <f aca="false">IF(ISNUMBER(SEARCH("|FARE_LIVELIHOOD|","|"&amp;Master_Dataset!$AH34&amp;"|")),1,0)</f>
        <v>0</v>
      </c>
      <c r="M34" s="60" t="n">
        <f aca="false">IF(ISNUMBER(SEARCH("|MASCULINITY|","|"&amp;Master_Dataset!$AH34&amp;"|")),1,0)</f>
        <v>0</v>
      </c>
      <c r="N34" s="60" t="n">
        <f aca="false">IF(ISNUMBER(SEARCH("|WOMEN_REPRESENTATION|","|"&amp;Master_Dataset!$AH34&amp;"|")),1,0)</f>
        <v>0</v>
      </c>
      <c r="O34" s="60" t="n">
        <f aca="false">IF(ISNUMBER(SEARCH("|SELF_RESPECT|","|"&amp;Master_Dataset!$AH34&amp;"|")),1,0)</f>
        <v>0</v>
      </c>
      <c r="P34" s="60" t="n">
        <f aca="false">IF(ISNUMBER(SEARCH("|DISTRUST_HYPOCRISY|","|"&amp;Master_Dataset!$AH34&amp;"|")),1,0)</f>
        <v>0</v>
      </c>
      <c r="Q34" s="60" t="n">
        <f aca="false">IF(ISNUMBER(SEARCH("|MORAL_ADVICE|","|"&amp;Master_Dataset!$AH34&amp;"|")),1,0)</f>
        <v>0</v>
      </c>
      <c r="R34" s="60" t="n">
        <f aca="false">IF(ISNUMBER(SEARCH("|HOPE_RESILIENCE|","|"&amp;Master_Dataset!$AH34&amp;"|")),1,0)</f>
        <v>0</v>
      </c>
      <c r="S34" s="60" t="n">
        <f aca="false">IF(ISNUMBER(SEARCH("|RELIGION_FATE|","|"&amp;Master_Dataset!$AH34&amp;"|")),1,0)</f>
        <v>0</v>
      </c>
      <c r="T34" s="60" t="n">
        <f aca="false">IF(ISNUMBER(SEARCH("|MORTALITY_RISK|","|"&amp;Master_Dataset!$AH34&amp;"|")),1,0)</f>
        <v>0</v>
      </c>
      <c r="U34" s="60" t="n">
        <f aca="false">IF(ISNUMBER(SEARCH("|INSTITUTION_CRITIQUE|","|"&amp;Master_Dataset!$AH34&amp;"|")),1,0)</f>
        <v>0</v>
      </c>
      <c r="V34" s="60" t="n">
        <f aca="false">IF(ISNUMBER(SEARCH("|PLACE_IDENTITY|","|"&amp;Master_Dataset!$AH34&amp;"|")),1,0)</f>
        <v>0</v>
      </c>
      <c r="W34" s="60" t="n">
        <f aca="false">IF(ISNUMBER(SEARCH("|HUMOR|","|"&amp;Master_Dataset!$AH34&amp;"|")),1,0)</f>
        <v>1</v>
      </c>
      <c r="X34" s="60" t="n">
        <f aca="false">IF(ISNUMBER(SEARCH("|CODE_MIXING_SLANG|","|"&amp;Master_Dataset!$AH34&amp;"|")),1,0)</f>
        <v>0</v>
      </c>
    </row>
    <row r="35" customFormat="false" ht="15" hidden="false" customHeight="true" outlineLevel="0" collapsed="false">
      <c r="A35" s="60" t="n">
        <f aca="false">Master_Dataset!A35</f>
        <v>34</v>
      </c>
      <c r="B35" s="60" t="n">
        <f aca="false">IF(ISNUMBER(SEARCH("|LOVE_ROMANCE|","|"&amp;Master_Dataset!$AH35&amp;"|")),1,0)</f>
        <v>0</v>
      </c>
      <c r="C35" s="60" t="n">
        <f aca="false">IF(ISNUMBER(SEARCH("|SEPARATION_LOSS|","|"&amp;Master_Dataset!$AH35&amp;"|")),1,0)</f>
        <v>0</v>
      </c>
      <c r="D35" s="60" t="n">
        <f aca="false">IF(ISNUMBER(SEARCH("|FAMILY|","|"&amp;Master_Dataset!$AH35&amp;"|")),1,0)</f>
        <v>0</v>
      </c>
      <c r="E35" s="60" t="n">
        <f aca="false">IF(ISNUMBER(SEARCH("|MONEY_MATERIALISM|","|"&amp;Master_Dataset!$AH35&amp;"|")),1,0)</f>
        <v>0</v>
      </c>
      <c r="F35" s="60" t="n">
        <f aca="false">IF(ISNUMBER(SEARCH("|CLASS_INEQUALITY_CRITIQUE|","|"&amp;Master_Dataset!$AH35&amp;"|")),1,0)</f>
        <v>0</v>
      </c>
      <c r="G35" s="60" t="n">
        <f aca="false">IF(ISNUMBER(SEARCH("|CONSUMER_STATUS|","|"&amp;Master_Dataset!$AH35&amp;"|")),1,0)</f>
        <v>0</v>
      </c>
      <c r="H35" s="60" t="n">
        <f aca="false">IF(ISNUMBER(SEARCH("|MIGRATION|","|"&amp;Master_Dataset!$AH35&amp;"|")),1,0)</f>
        <v>0</v>
      </c>
      <c r="I35" s="60" t="n">
        <f aca="false">IF(ISNUMBER(SEARCH("|EDUCATION|","|"&amp;Master_Dataset!$AH35&amp;"|")),1,0)</f>
        <v>0</v>
      </c>
      <c r="J35" s="60" t="n">
        <f aca="false">IF(ISNUMBER(SEARCH("|DRIVER_IDENTITY|","|"&amp;Master_Dataset!$AH35&amp;"|")),1,0)</f>
        <v>0</v>
      </c>
      <c r="K35" s="60" t="n">
        <f aca="false">IF(ISNUMBER(SEARCH("|LABOR_DIGNITY|","|"&amp;Master_Dataset!$AH35&amp;"|")),1,0)</f>
        <v>0</v>
      </c>
      <c r="L35" s="60" t="n">
        <f aca="false">IF(ISNUMBER(SEARCH("|FARE_LIVELIHOOD|","|"&amp;Master_Dataset!$AH35&amp;"|")),1,0)</f>
        <v>0</v>
      </c>
      <c r="M35" s="60" t="n">
        <f aca="false">IF(ISNUMBER(SEARCH("|MASCULINITY|","|"&amp;Master_Dataset!$AH35&amp;"|")),1,0)</f>
        <v>0</v>
      </c>
      <c r="N35" s="60" t="n">
        <f aca="false">IF(ISNUMBER(SEARCH("|WOMEN_REPRESENTATION|","|"&amp;Master_Dataset!$AH35&amp;"|")),1,0)</f>
        <v>0</v>
      </c>
      <c r="O35" s="60" t="n">
        <f aca="false">IF(ISNUMBER(SEARCH("|SELF_RESPECT|","|"&amp;Master_Dataset!$AH35&amp;"|")),1,0)</f>
        <v>1</v>
      </c>
      <c r="P35" s="60" t="n">
        <f aca="false">IF(ISNUMBER(SEARCH("|DISTRUST_HYPOCRISY|","|"&amp;Master_Dataset!$AH35&amp;"|")),1,0)</f>
        <v>0</v>
      </c>
      <c r="Q35" s="60" t="n">
        <f aca="false">IF(ISNUMBER(SEARCH("|MORAL_ADVICE|","|"&amp;Master_Dataset!$AH35&amp;"|")),1,0)</f>
        <v>0</v>
      </c>
      <c r="R35" s="60" t="n">
        <f aca="false">IF(ISNUMBER(SEARCH("|HOPE_RESILIENCE|","|"&amp;Master_Dataset!$AH35&amp;"|")),1,0)</f>
        <v>0</v>
      </c>
      <c r="S35" s="60" t="n">
        <f aca="false">IF(ISNUMBER(SEARCH("|RELIGION_FATE|","|"&amp;Master_Dataset!$AH35&amp;"|")),1,0)</f>
        <v>0</v>
      </c>
      <c r="T35" s="60" t="n">
        <f aca="false">IF(ISNUMBER(SEARCH("|MORTALITY_RISK|","|"&amp;Master_Dataset!$AH35&amp;"|")),1,0)</f>
        <v>0</v>
      </c>
      <c r="U35" s="60" t="n">
        <f aca="false">IF(ISNUMBER(SEARCH("|INSTITUTION_CRITIQUE|","|"&amp;Master_Dataset!$AH35&amp;"|")),1,0)</f>
        <v>0</v>
      </c>
      <c r="V35" s="60" t="n">
        <f aca="false">IF(ISNUMBER(SEARCH("|PLACE_IDENTITY|","|"&amp;Master_Dataset!$AH35&amp;"|")),1,0)</f>
        <v>1</v>
      </c>
      <c r="W35" s="60" t="n">
        <f aca="false">IF(ISNUMBER(SEARCH("|HUMOR|","|"&amp;Master_Dataset!$AH35&amp;"|")),1,0)</f>
        <v>1</v>
      </c>
      <c r="X35" s="60" t="n">
        <f aca="false">IF(ISNUMBER(SEARCH("|CODE_MIXING_SLANG|","|"&amp;Master_Dataset!$AH35&amp;"|")),1,0)</f>
        <v>0</v>
      </c>
    </row>
    <row r="36" customFormat="false" ht="15" hidden="false" customHeight="true" outlineLevel="0" collapsed="false">
      <c r="A36" s="60" t="n">
        <f aca="false">Master_Dataset!A36</f>
        <v>35</v>
      </c>
      <c r="B36" s="60" t="n">
        <f aca="false">IF(ISNUMBER(SEARCH("|LOVE_ROMANCE|","|"&amp;Master_Dataset!$AH36&amp;"|")),1,0)</f>
        <v>0</v>
      </c>
      <c r="C36" s="60" t="n">
        <f aca="false">IF(ISNUMBER(SEARCH("|SEPARATION_LOSS|","|"&amp;Master_Dataset!$AH36&amp;"|")),1,0)</f>
        <v>0</v>
      </c>
      <c r="D36" s="60" t="n">
        <f aca="false">IF(ISNUMBER(SEARCH("|FAMILY|","|"&amp;Master_Dataset!$AH36&amp;"|")),1,0)</f>
        <v>1</v>
      </c>
      <c r="E36" s="60" t="n">
        <f aca="false">IF(ISNUMBER(SEARCH("|MONEY_MATERIALISM|","|"&amp;Master_Dataset!$AH36&amp;"|")),1,0)</f>
        <v>0</v>
      </c>
      <c r="F36" s="60" t="n">
        <f aca="false">IF(ISNUMBER(SEARCH("|CLASS_INEQUALITY_CRITIQUE|","|"&amp;Master_Dataset!$AH36&amp;"|")),1,0)</f>
        <v>0</v>
      </c>
      <c r="G36" s="60" t="n">
        <f aca="false">IF(ISNUMBER(SEARCH("|CONSUMER_STATUS|","|"&amp;Master_Dataset!$AH36&amp;"|")),1,0)</f>
        <v>0</v>
      </c>
      <c r="H36" s="60" t="n">
        <f aca="false">IF(ISNUMBER(SEARCH("|MIGRATION|","|"&amp;Master_Dataset!$AH36&amp;"|")),1,0)</f>
        <v>0</v>
      </c>
      <c r="I36" s="60" t="n">
        <f aca="false">IF(ISNUMBER(SEARCH("|EDUCATION|","|"&amp;Master_Dataset!$AH36&amp;"|")),1,0)</f>
        <v>0</v>
      </c>
      <c r="J36" s="60" t="n">
        <f aca="false">IF(ISNUMBER(SEARCH("|DRIVER_IDENTITY|","|"&amp;Master_Dataset!$AH36&amp;"|")),1,0)</f>
        <v>0</v>
      </c>
      <c r="K36" s="60" t="n">
        <f aca="false">IF(ISNUMBER(SEARCH("|LABOR_DIGNITY|","|"&amp;Master_Dataset!$AH36&amp;"|")),1,0)</f>
        <v>0</v>
      </c>
      <c r="L36" s="60" t="n">
        <f aca="false">IF(ISNUMBER(SEARCH("|FARE_LIVELIHOOD|","|"&amp;Master_Dataset!$AH36&amp;"|")),1,0)</f>
        <v>0</v>
      </c>
      <c r="M36" s="60" t="n">
        <f aca="false">IF(ISNUMBER(SEARCH("|MASCULINITY|","|"&amp;Master_Dataset!$AH36&amp;"|")),1,0)</f>
        <v>0</v>
      </c>
      <c r="N36" s="60" t="n">
        <f aca="false">IF(ISNUMBER(SEARCH("|WOMEN_REPRESENTATION|","|"&amp;Master_Dataset!$AH36&amp;"|")),1,0)</f>
        <v>0</v>
      </c>
      <c r="O36" s="60" t="n">
        <f aca="false">IF(ISNUMBER(SEARCH("|SELF_RESPECT|","|"&amp;Master_Dataset!$AH36&amp;"|")),1,0)</f>
        <v>0</v>
      </c>
      <c r="P36" s="60" t="n">
        <f aca="false">IF(ISNUMBER(SEARCH("|DISTRUST_HYPOCRISY|","|"&amp;Master_Dataset!$AH36&amp;"|")),1,0)</f>
        <v>0</v>
      </c>
      <c r="Q36" s="60" t="n">
        <f aca="false">IF(ISNUMBER(SEARCH("|MORAL_ADVICE|","|"&amp;Master_Dataset!$AH36&amp;"|")),1,0)</f>
        <v>1</v>
      </c>
      <c r="R36" s="60" t="n">
        <f aca="false">IF(ISNUMBER(SEARCH("|HOPE_RESILIENCE|","|"&amp;Master_Dataset!$AH36&amp;"|")),1,0)</f>
        <v>0</v>
      </c>
      <c r="S36" s="60" t="n">
        <f aca="false">IF(ISNUMBER(SEARCH("|RELIGION_FATE|","|"&amp;Master_Dataset!$AH36&amp;"|")),1,0)</f>
        <v>0</v>
      </c>
      <c r="T36" s="60" t="n">
        <f aca="false">IF(ISNUMBER(SEARCH("|MORTALITY_RISK|","|"&amp;Master_Dataset!$AH36&amp;"|")),1,0)</f>
        <v>0</v>
      </c>
      <c r="U36" s="60" t="n">
        <f aca="false">IF(ISNUMBER(SEARCH("|INSTITUTION_CRITIQUE|","|"&amp;Master_Dataset!$AH36&amp;"|")),1,0)</f>
        <v>0</v>
      </c>
      <c r="V36" s="60" t="n">
        <f aca="false">IF(ISNUMBER(SEARCH("|PLACE_IDENTITY|","|"&amp;Master_Dataset!$AH36&amp;"|")),1,0)</f>
        <v>0</v>
      </c>
      <c r="W36" s="60" t="n">
        <f aca="false">IF(ISNUMBER(SEARCH("|HUMOR|","|"&amp;Master_Dataset!$AH36&amp;"|")),1,0)</f>
        <v>0</v>
      </c>
      <c r="X36" s="60" t="n">
        <f aca="false">IF(ISNUMBER(SEARCH("|CODE_MIXING_SLANG|","|"&amp;Master_Dataset!$AH36&amp;"|")),1,0)</f>
        <v>0</v>
      </c>
    </row>
    <row r="37" customFormat="false" ht="15" hidden="false" customHeight="true" outlineLevel="0" collapsed="false">
      <c r="A37" s="60" t="n">
        <f aca="false">Master_Dataset!A37</f>
        <v>36</v>
      </c>
      <c r="B37" s="60" t="n">
        <f aca="false">IF(ISNUMBER(SEARCH("|LOVE_ROMANCE|","|"&amp;Master_Dataset!$AH37&amp;"|")),1,0)</f>
        <v>1</v>
      </c>
      <c r="C37" s="60" t="n">
        <f aca="false">IF(ISNUMBER(SEARCH("|SEPARATION_LOSS|","|"&amp;Master_Dataset!$AH37&amp;"|")),1,0)</f>
        <v>0</v>
      </c>
      <c r="D37" s="60" t="n">
        <f aca="false">IF(ISNUMBER(SEARCH("|FAMILY|","|"&amp;Master_Dataset!$AH37&amp;"|")),1,0)</f>
        <v>0</v>
      </c>
      <c r="E37" s="60" t="n">
        <f aca="false">IF(ISNUMBER(SEARCH("|MONEY_MATERIALISM|","|"&amp;Master_Dataset!$AH37&amp;"|")),1,0)</f>
        <v>0</v>
      </c>
      <c r="F37" s="60" t="n">
        <f aca="false">IF(ISNUMBER(SEARCH("|CLASS_INEQUALITY_CRITIQUE|","|"&amp;Master_Dataset!$AH37&amp;"|")),1,0)</f>
        <v>0</v>
      </c>
      <c r="G37" s="60" t="n">
        <f aca="false">IF(ISNUMBER(SEARCH("|CONSUMER_STATUS|","|"&amp;Master_Dataset!$AH37&amp;"|")),1,0)</f>
        <v>0</v>
      </c>
      <c r="H37" s="60" t="n">
        <f aca="false">IF(ISNUMBER(SEARCH("|MIGRATION|","|"&amp;Master_Dataset!$AH37&amp;"|")),1,0)</f>
        <v>0</v>
      </c>
      <c r="I37" s="60" t="n">
        <f aca="false">IF(ISNUMBER(SEARCH("|EDUCATION|","|"&amp;Master_Dataset!$AH37&amp;"|")),1,0)</f>
        <v>0</v>
      </c>
      <c r="J37" s="60" t="n">
        <f aca="false">IF(ISNUMBER(SEARCH("|DRIVER_IDENTITY|","|"&amp;Master_Dataset!$AH37&amp;"|")),1,0)</f>
        <v>1</v>
      </c>
      <c r="K37" s="60" t="n">
        <f aca="false">IF(ISNUMBER(SEARCH("|LABOR_DIGNITY|","|"&amp;Master_Dataset!$AH37&amp;"|")),1,0)</f>
        <v>1</v>
      </c>
      <c r="L37" s="60" t="n">
        <f aca="false">IF(ISNUMBER(SEARCH("|FARE_LIVELIHOOD|","|"&amp;Master_Dataset!$AH37&amp;"|")),1,0)</f>
        <v>0</v>
      </c>
      <c r="M37" s="60" t="n">
        <f aca="false">IF(ISNUMBER(SEARCH("|MASCULINITY|","|"&amp;Master_Dataset!$AH37&amp;"|")),1,0)</f>
        <v>0</v>
      </c>
      <c r="N37" s="60" t="n">
        <f aca="false">IF(ISNUMBER(SEARCH("|WOMEN_REPRESENTATION|","|"&amp;Master_Dataset!$AH37&amp;"|")),1,0)</f>
        <v>0</v>
      </c>
      <c r="O37" s="60" t="n">
        <f aca="false">IF(ISNUMBER(SEARCH("|SELF_RESPECT|","|"&amp;Master_Dataset!$AH37&amp;"|")),1,0)</f>
        <v>1</v>
      </c>
      <c r="P37" s="60" t="n">
        <f aca="false">IF(ISNUMBER(SEARCH("|DISTRUST_HYPOCRISY|","|"&amp;Master_Dataset!$AH37&amp;"|")),1,0)</f>
        <v>0</v>
      </c>
      <c r="Q37" s="60" t="n">
        <f aca="false">IF(ISNUMBER(SEARCH("|MORAL_ADVICE|","|"&amp;Master_Dataset!$AH37&amp;"|")),1,0)</f>
        <v>0</v>
      </c>
      <c r="R37" s="60" t="n">
        <f aca="false">IF(ISNUMBER(SEARCH("|HOPE_RESILIENCE|","|"&amp;Master_Dataset!$AH37&amp;"|")),1,0)</f>
        <v>0</v>
      </c>
      <c r="S37" s="60" t="n">
        <f aca="false">IF(ISNUMBER(SEARCH("|RELIGION_FATE|","|"&amp;Master_Dataset!$AH37&amp;"|")),1,0)</f>
        <v>0</v>
      </c>
      <c r="T37" s="60" t="n">
        <f aca="false">IF(ISNUMBER(SEARCH("|MORTALITY_RISK|","|"&amp;Master_Dataset!$AH37&amp;"|")),1,0)</f>
        <v>0</v>
      </c>
      <c r="U37" s="60" t="n">
        <f aca="false">IF(ISNUMBER(SEARCH("|INSTITUTION_CRITIQUE|","|"&amp;Master_Dataset!$AH37&amp;"|")),1,0)</f>
        <v>0</v>
      </c>
      <c r="V37" s="60" t="n">
        <f aca="false">IF(ISNUMBER(SEARCH("|PLACE_IDENTITY|","|"&amp;Master_Dataset!$AH37&amp;"|")),1,0)</f>
        <v>0</v>
      </c>
      <c r="W37" s="60" t="n">
        <f aca="false">IF(ISNUMBER(SEARCH("|HUMOR|","|"&amp;Master_Dataset!$AH37&amp;"|")),1,0)</f>
        <v>0</v>
      </c>
      <c r="X37" s="60" t="n">
        <f aca="false">IF(ISNUMBER(SEARCH("|CODE_MIXING_SLANG|","|"&amp;Master_Dataset!$AH37&amp;"|")),1,0)</f>
        <v>0</v>
      </c>
    </row>
    <row r="38" customFormat="false" ht="15" hidden="false" customHeight="true" outlineLevel="0" collapsed="false">
      <c r="A38" s="60" t="n">
        <f aca="false">Master_Dataset!A38</f>
        <v>37</v>
      </c>
      <c r="B38" s="60" t="n">
        <f aca="false">IF(ISNUMBER(SEARCH("|LOVE_ROMANCE|","|"&amp;Master_Dataset!$AH38&amp;"|")),1,0)</f>
        <v>0</v>
      </c>
      <c r="C38" s="60" t="n">
        <f aca="false">IF(ISNUMBER(SEARCH("|SEPARATION_LOSS|","|"&amp;Master_Dataset!$AH38&amp;"|")),1,0)</f>
        <v>0</v>
      </c>
      <c r="D38" s="60" t="n">
        <f aca="false">IF(ISNUMBER(SEARCH("|FAMILY|","|"&amp;Master_Dataset!$AH38&amp;"|")),1,0)</f>
        <v>0</v>
      </c>
      <c r="E38" s="60" t="n">
        <f aca="false">IF(ISNUMBER(SEARCH("|MONEY_MATERIALISM|","|"&amp;Master_Dataset!$AH38&amp;"|")),1,0)</f>
        <v>0</v>
      </c>
      <c r="F38" s="60" t="n">
        <f aca="false">IF(ISNUMBER(SEARCH("|CLASS_INEQUALITY_CRITIQUE|","|"&amp;Master_Dataset!$AH38&amp;"|")),1,0)</f>
        <v>0</v>
      </c>
      <c r="G38" s="60" t="n">
        <f aca="false">IF(ISNUMBER(SEARCH("|CONSUMER_STATUS|","|"&amp;Master_Dataset!$AH38&amp;"|")),1,0)</f>
        <v>0</v>
      </c>
      <c r="H38" s="60" t="n">
        <f aca="false">IF(ISNUMBER(SEARCH("|MIGRATION|","|"&amp;Master_Dataset!$AH38&amp;"|")),1,0)</f>
        <v>0</v>
      </c>
      <c r="I38" s="60" t="n">
        <f aca="false">IF(ISNUMBER(SEARCH("|EDUCATION|","|"&amp;Master_Dataset!$AH38&amp;"|")),1,0)</f>
        <v>0</v>
      </c>
      <c r="J38" s="60" t="n">
        <f aca="false">IF(ISNUMBER(SEARCH("|DRIVER_IDENTITY|","|"&amp;Master_Dataset!$AH38&amp;"|")),1,0)</f>
        <v>0</v>
      </c>
      <c r="K38" s="60" t="n">
        <f aca="false">IF(ISNUMBER(SEARCH("|LABOR_DIGNITY|","|"&amp;Master_Dataset!$AH38&amp;"|")),1,0)</f>
        <v>0</v>
      </c>
      <c r="L38" s="60" t="n">
        <f aca="false">IF(ISNUMBER(SEARCH("|FARE_LIVELIHOOD|","|"&amp;Master_Dataset!$AH38&amp;"|")),1,0)</f>
        <v>0</v>
      </c>
      <c r="M38" s="60" t="n">
        <f aca="false">IF(ISNUMBER(SEARCH("|MASCULINITY|","|"&amp;Master_Dataset!$AH38&amp;"|")),1,0)</f>
        <v>0</v>
      </c>
      <c r="N38" s="60" t="n">
        <f aca="false">IF(ISNUMBER(SEARCH("|WOMEN_REPRESENTATION|","|"&amp;Master_Dataset!$AH38&amp;"|")),1,0)</f>
        <v>0</v>
      </c>
      <c r="O38" s="60" t="n">
        <f aca="false">IF(ISNUMBER(SEARCH("|SELF_RESPECT|","|"&amp;Master_Dataset!$AH38&amp;"|")),1,0)</f>
        <v>0</v>
      </c>
      <c r="P38" s="60" t="n">
        <f aca="false">IF(ISNUMBER(SEARCH("|DISTRUST_HYPOCRISY|","|"&amp;Master_Dataset!$AH38&amp;"|")),1,0)</f>
        <v>1</v>
      </c>
      <c r="Q38" s="60" t="n">
        <f aca="false">IF(ISNUMBER(SEARCH("|MORAL_ADVICE|","|"&amp;Master_Dataset!$AH38&amp;"|")),1,0)</f>
        <v>0</v>
      </c>
      <c r="R38" s="60" t="n">
        <f aca="false">IF(ISNUMBER(SEARCH("|HOPE_RESILIENCE|","|"&amp;Master_Dataset!$AH38&amp;"|")),1,0)</f>
        <v>0</v>
      </c>
      <c r="S38" s="60" t="n">
        <f aca="false">IF(ISNUMBER(SEARCH("|RELIGION_FATE|","|"&amp;Master_Dataset!$AH38&amp;"|")),1,0)</f>
        <v>0</v>
      </c>
      <c r="T38" s="60" t="n">
        <f aca="false">IF(ISNUMBER(SEARCH("|MORTALITY_RISK|","|"&amp;Master_Dataset!$AH38&amp;"|")),1,0)</f>
        <v>0</v>
      </c>
      <c r="U38" s="60" t="n">
        <f aca="false">IF(ISNUMBER(SEARCH("|INSTITUTION_CRITIQUE|","|"&amp;Master_Dataset!$AH38&amp;"|")),1,0)</f>
        <v>1</v>
      </c>
      <c r="V38" s="60" t="n">
        <f aca="false">IF(ISNUMBER(SEARCH("|PLACE_IDENTITY|","|"&amp;Master_Dataset!$AH38&amp;"|")),1,0)</f>
        <v>0</v>
      </c>
      <c r="W38" s="60" t="n">
        <f aca="false">IF(ISNUMBER(SEARCH("|HUMOR|","|"&amp;Master_Dataset!$AH38&amp;"|")),1,0)</f>
        <v>1</v>
      </c>
      <c r="X38" s="60" t="n">
        <f aca="false">IF(ISNUMBER(SEARCH("|CODE_MIXING_SLANG|","|"&amp;Master_Dataset!$AH38&amp;"|")),1,0)</f>
        <v>0</v>
      </c>
    </row>
    <row r="39" customFormat="false" ht="15" hidden="false" customHeight="true" outlineLevel="0" collapsed="false">
      <c r="A39" s="60" t="n">
        <f aca="false">Master_Dataset!A39</f>
        <v>38</v>
      </c>
      <c r="B39" s="60" t="n">
        <f aca="false">IF(ISNUMBER(SEARCH("|LOVE_ROMANCE|","|"&amp;Master_Dataset!$AH39&amp;"|")),1,0)</f>
        <v>1</v>
      </c>
      <c r="C39" s="60" t="n">
        <f aca="false">IF(ISNUMBER(SEARCH("|SEPARATION_LOSS|","|"&amp;Master_Dataset!$AH39&amp;"|")),1,0)</f>
        <v>1</v>
      </c>
      <c r="D39" s="60" t="n">
        <f aca="false">IF(ISNUMBER(SEARCH("|FAMILY|","|"&amp;Master_Dataset!$AH39&amp;"|")),1,0)</f>
        <v>0</v>
      </c>
      <c r="E39" s="60" t="n">
        <f aca="false">IF(ISNUMBER(SEARCH("|MONEY_MATERIALISM|","|"&amp;Master_Dataset!$AH39&amp;"|")),1,0)</f>
        <v>0</v>
      </c>
      <c r="F39" s="60" t="n">
        <f aca="false">IF(ISNUMBER(SEARCH("|CLASS_INEQUALITY_CRITIQUE|","|"&amp;Master_Dataset!$AH39&amp;"|")),1,0)</f>
        <v>0</v>
      </c>
      <c r="G39" s="60" t="n">
        <f aca="false">IF(ISNUMBER(SEARCH("|CONSUMER_STATUS|","|"&amp;Master_Dataset!$AH39&amp;"|")),1,0)</f>
        <v>0</v>
      </c>
      <c r="H39" s="60" t="n">
        <f aca="false">IF(ISNUMBER(SEARCH("|MIGRATION|","|"&amp;Master_Dataset!$AH39&amp;"|")),1,0)</f>
        <v>0</v>
      </c>
      <c r="I39" s="60" t="n">
        <f aca="false">IF(ISNUMBER(SEARCH("|EDUCATION|","|"&amp;Master_Dataset!$AH39&amp;"|")),1,0)</f>
        <v>0</v>
      </c>
      <c r="J39" s="60" t="n">
        <f aca="false">IF(ISNUMBER(SEARCH("|DRIVER_IDENTITY|","|"&amp;Master_Dataset!$AH39&amp;"|")),1,0)</f>
        <v>0</v>
      </c>
      <c r="K39" s="60" t="n">
        <f aca="false">IF(ISNUMBER(SEARCH("|LABOR_DIGNITY|","|"&amp;Master_Dataset!$AH39&amp;"|")),1,0)</f>
        <v>0</v>
      </c>
      <c r="L39" s="60" t="n">
        <f aca="false">IF(ISNUMBER(SEARCH("|FARE_LIVELIHOOD|","|"&amp;Master_Dataset!$AH39&amp;"|")),1,0)</f>
        <v>0</v>
      </c>
      <c r="M39" s="60" t="n">
        <f aca="false">IF(ISNUMBER(SEARCH("|MASCULINITY|","|"&amp;Master_Dataset!$AH39&amp;"|")),1,0)</f>
        <v>0</v>
      </c>
      <c r="N39" s="60" t="n">
        <f aca="false">IF(ISNUMBER(SEARCH("|WOMEN_REPRESENTATION|","|"&amp;Master_Dataset!$AH39&amp;"|")),1,0)</f>
        <v>0</v>
      </c>
      <c r="O39" s="60" t="n">
        <f aca="false">IF(ISNUMBER(SEARCH("|SELF_RESPECT|","|"&amp;Master_Dataset!$AH39&amp;"|")),1,0)</f>
        <v>0</v>
      </c>
      <c r="P39" s="60" t="n">
        <f aca="false">IF(ISNUMBER(SEARCH("|DISTRUST_HYPOCRISY|","|"&amp;Master_Dataset!$AH39&amp;"|")),1,0)</f>
        <v>0</v>
      </c>
      <c r="Q39" s="60" t="n">
        <f aca="false">IF(ISNUMBER(SEARCH("|MORAL_ADVICE|","|"&amp;Master_Dataset!$AH39&amp;"|")),1,0)</f>
        <v>0</v>
      </c>
      <c r="R39" s="60" t="n">
        <f aca="false">IF(ISNUMBER(SEARCH("|HOPE_RESILIENCE|","|"&amp;Master_Dataset!$AH39&amp;"|")),1,0)</f>
        <v>0</v>
      </c>
      <c r="S39" s="60" t="n">
        <f aca="false">IF(ISNUMBER(SEARCH("|RELIGION_FATE|","|"&amp;Master_Dataset!$AH39&amp;"|")),1,0)</f>
        <v>0</v>
      </c>
      <c r="T39" s="60" t="n">
        <f aca="false">IF(ISNUMBER(SEARCH("|MORTALITY_RISK|","|"&amp;Master_Dataset!$AH39&amp;"|")),1,0)</f>
        <v>0</v>
      </c>
      <c r="U39" s="60" t="n">
        <f aca="false">IF(ISNUMBER(SEARCH("|INSTITUTION_CRITIQUE|","|"&amp;Master_Dataset!$AH39&amp;"|")),1,0)</f>
        <v>0</v>
      </c>
      <c r="V39" s="60" t="n">
        <f aca="false">IF(ISNUMBER(SEARCH("|PLACE_IDENTITY|","|"&amp;Master_Dataset!$AH39&amp;"|")),1,0)</f>
        <v>0</v>
      </c>
      <c r="W39" s="60" t="n">
        <f aca="false">IF(ISNUMBER(SEARCH("|HUMOR|","|"&amp;Master_Dataset!$AH39&amp;"|")),1,0)</f>
        <v>0</v>
      </c>
      <c r="X39" s="60" t="n">
        <f aca="false">IF(ISNUMBER(SEARCH("|CODE_MIXING_SLANG|","|"&amp;Master_Dataset!$AH39&amp;"|")),1,0)</f>
        <v>0</v>
      </c>
    </row>
    <row r="40" customFormat="false" ht="15" hidden="false" customHeight="true" outlineLevel="0" collapsed="false">
      <c r="A40" s="60" t="n">
        <f aca="false">Master_Dataset!A40</f>
        <v>39</v>
      </c>
      <c r="B40" s="60" t="n">
        <f aca="false">IF(ISNUMBER(SEARCH("|LOVE_ROMANCE|","|"&amp;Master_Dataset!$AH40&amp;"|")),1,0)</f>
        <v>1</v>
      </c>
      <c r="C40" s="60" t="n">
        <f aca="false">IF(ISNUMBER(SEARCH("|SEPARATION_LOSS|","|"&amp;Master_Dataset!$AH40&amp;"|")),1,0)</f>
        <v>0</v>
      </c>
      <c r="D40" s="60" t="n">
        <f aca="false">IF(ISNUMBER(SEARCH("|FAMILY|","|"&amp;Master_Dataset!$AH40&amp;"|")),1,0)</f>
        <v>0</v>
      </c>
      <c r="E40" s="60" t="n">
        <f aca="false">IF(ISNUMBER(SEARCH("|MONEY_MATERIALISM|","|"&amp;Master_Dataset!$AH40&amp;"|")),1,0)</f>
        <v>0</v>
      </c>
      <c r="F40" s="60" t="n">
        <f aca="false">IF(ISNUMBER(SEARCH("|CLASS_INEQUALITY_CRITIQUE|","|"&amp;Master_Dataset!$AH40&amp;"|")),1,0)</f>
        <v>0</v>
      </c>
      <c r="G40" s="60" t="n">
        <f aca="false">IF(ISNUMBER(SEARCH("|CONSUMER_STATUS|","|"&amp;Master_Dataset!$AH40&amp;"|")),1,0)</f>
        <v>0</v>
      </c>
      <c r="H40" s="60" t="n">
        <f aca="false">IF(ISNUMBER(SEARCH("|MIGRATION|","|"&amp;Master_Dataset!$AH40&amp;"|")),1,0)</f>
        <v>0</v>
      </c>
      <c r="I40" s="60" t="n">
        <f aca="false">IF(ISNUMBER(SEARCH("|EDUCATION|","|"&amp;Master_Dataset!$AH40&amp;"|")),1,0)</f>
        <v>0</v>
      </c>
      <c r="J40" s="60" t="n">
        <f aca="false">IF(ISNUMBER(SEARCH("|DRIVER_IDENTITY|","|"&amp;Master_Dataset!$AH40&amp;"|")),1,0)</f>
        <v>0</v>
      </c>
      <c r="K40" s="60" t="n">
        <f aca="false">IF(ISNUMBER(SEARCH("|LABOR_DIGNITY|","|"&amp;Master_Dataset!$AH40&amp;"|")),1,0)</f>
        <v>0</v>
      </c>
      <c r="L40" s="60" t="n">
        <f aca="false">IF(ISNUMBER(SEARCH("|FARE_LIVELIHOOD|","|"&amp;Master_Dataset!$AH40&amp;"|")),1,0)</f>
        <v>0</v>
      </c>
      <c r="M40" s="60" t="n">
        <f aca="false">IF(ISNUMBER(SEARCH("|MASCULINITY|","|"&amp;Master_Dataset!$AH40&amp;"|")),1,0)</f>
        <v>0</v>
      </c>
      <c r="N40" s="60" t="n">
        <f aca="false">IF(ISNUMBER(SEARCH("|WOMEN_REPRESENTATION|","|"&amp;Master_Dataset!$AH40&amp;"|")),1,0)</f>
        <v>0</v>
      </c>
      <c r="O40" s="60" t="n">
        <f aca="false">IF(ISNUMBER(SEARCH("|SELF_RESPECT|","|"&amp;Master_Dataset!$AH40&amp;"|")),1,0)</f>
        <v>0</v>
      </c>
      <c r="P40" s="60" t="n">
        <f aca="false">IF(ISNUMBER(SEARCH("|DISTRUST_HYPOCRISY|","|"&amp;Master_Dataset!$AH40&amp;"|")),1,0)</f>
        <v>0</v>
      </c>
      <c r="Q40" s="60" t="n">
        <f aca="false">IF(ISNUMBER(SEARCH("|MORAL_ADVICE|","|"&amp;Master_Dataset!$AH40&amp;"|")),1,0)</f>
        <v>1</v>
      </c>
      <c r="R40" s="60" t="n">
        <f aca="false">IF(ISNUMBER(SEARCH("|HOPE_RESILIENCE|","|"&amp;Master_Dataset!$AH40&amp;"|")),1,0)</f>
        <v>0</v>
      </c>
      <c r="S40" s="60" t="n">
        <f aca="false">IF(ISNUMBER(SEARCH("|RELIGION_FATE|","|"&amp;Master_Dataset!$AH40&amp;"|")),1,0)</f>
        <v>0</v>
      </c>
      <c r="T40" s="60" t="n">
        <f aca="false">IF(ISNUMBER(SEARCH("|MORTALITY_RISK|","|"&amp;Master_Dataset!$AH40&amp;"|")),1,0)</f>
        <v>0</v>
      </c>
      <c r="U40" s="60" t="n">
        <f aca="false">IF(ISNUMBER(SEARCH("|INSTITUTION_CRITIQUE|","|"&amp;Master_Dataset!$AH40&amp;"|")),1,0)</f>
        <v>0</v>
      </c>
      <c r="V40" s="60" t="n">
        <f aca="false">IF(ISNUMBER(SEARCH("|PLACE_IDENTITY|","|"&amp;Master_Dataset!$AH40&amp;"|")),1,0)</f>
        <v>0</v>
      </c>
      <c r="W40" s="60" t="n">
        <f aca="false">IF(ISNUMBER(SEARCH("|HUMOR|","|"&amp;Master_Dataset!$AH40&amp;"|")),1,0)</f>
        <v>0</v>
      </c>
      <c r="X40" s="60" t="n">
        <f aca="false">IF(ISNUMBER(SEARCH("|CODE_MIXING_SLANG|","|"&amp;Master_Dataset!$AH40&amp;"|")),1,0)</f>
        <v>0</v>
      </c>
    </row>
    <row r="41" customFormat="false" ht="15" hidden="false" customHeight="true" outlineLevel="0" collapsed="false">
      <c r="A41" s="60" t="n">
        <f aca="false">Master_Dataset!A41</f>
        <v>40</v>
      </c>
      <c r="B41" s="60" t="n">
        <f aca="false">IF(ISNUMBER(SEARCH("|LOVE_ROMANCE|","|"&amp;Master_Dataset!$AH41&amp;"|")),1,0)</f>
        <v>0</v>
      </c>
      <c r="C41" s="60" t="n">
        <f aca="false">IF(ISNUMBER(SEARCH("|SEPARATION_LOSS|","|"&amp;Master_Dataset!$AH41&amp;"|")),1,0)</f>
        <v>0</v>
      </c>
      <c r="D41" s="60" t="n">
        <f aca="false">IF(ISNUMBER(SEARCH("|FAMILY|","|"&amp;Master_Dataset!$AH41&amp;"|")),1,0)</f>
        <v>0</v>
      </c>
      <c r="E41" s="60" t="n">
        <f aca="false">IF(ISNUMBER(SEARCH("|MONEY_MATERIALISM|","|"&amp;Master_Dataset!$AH41&amp;"|")),1,0)</f>
        <v>0</v>
      </c>
      <c r="F41" s="60" t="n">
        <f aca="false">IF(ISNUMBER(SEARCH("|CLASS_INEQUALITY_CRITIQUE|","|"&amp;Master_Dataset!$AH41&amp;"|")),1,0)</f>
        <v>0</v>
      </c>
      <c r="G41" s="60" t="n">
        <f aca="false">IF(ISNUMBER(SEARCH("|CONSUMER_STATUS|","|"&amp;Master_Dataset!$AH41&amp;"|")),1,0)</f>
        <v>0</v>
      </c>
      <c r="H41" s="60" t="n">
        <f aca="false">IF(ISNUMBER(SEARCH("|MIGRATION|","|"&amp;Master_Dataset!$AH41&amp;"|")),1,0)</f>
        <v>0</v>
      </c>
      <c r="I41" s="60" t="n">
        <f aca="false">IF(ISNUMBER(SEARCH("|EDUCATION|","|"&amp;Master_Dataset!$AH41&amp;"|")),1,0)</f>
        <v>0</v>
      </c>
      <c r="J41" s="60" t="n">
        <f aca="false">IF(ISNUMBER(SEARCH("|DRIVER_IDENTITY|","|"&amp;Master_Dataset!$AH41&amp;"|")),1,0)</f>
        <v>1</v>
      </c>
      <c r="K41" s="60" t="n">
        <f aca="false">IF(ISNUMBER(SEARCH("|LABOR_DIGNITY|","|"&amp;Master_Dataset!$AH41&amp;"|")),1,0)</f>
        <v>1</v>
      </c>
      <c r="L41" s="60" t="n">
        <f aca="false">IF(ISNUMBER(SEARCH("|FARE_LIVELIHOOD|","|"&amp;Master_Dataset!$AH41&amp;"|")),1,0)</f>
        <v>0</v>
      </c>
      <c r="M41" s="60" t="n">
        <f aca="false">IF(ISNUMBER(SEARCH("|MASCULINITY|","|"&amp;Master_Dataset!$AH41&amp;"|")),1,0)</f>
        <v>0</v>
      </c>
      <c r="N41" s="60" t="n">
        <f aca="false">IF(ISNUMBER(SEARCH("|WOMEN_REPRESENTATION|","|"&amp;Master_Dataset!$AH41&amp;"|")),1,0)</f>
        <v>0</v>
      </c>
      <c r="O41" s="60" t="n">
        <f aca="false">IF(ISNUMBER(SEARCH("|SELF_RESPECT|","|"&amp;Master_Dataset!$AH41&amp;"|")),1,0)</f>
        <v>0</v>
      </c>
      <c r="P41" s="60" t="n">
        <f aca="false">IF(ISNUMBER(SEARCH("|DISTRUST_HYPOCRISY|","|"&amp;Master_Dataset!$AH41&amp;"|")),1,0)</f>
        <v>0</v>
      </c>
      <c r="Q41" s="60" t="n">
        <f aca="false">IF(ISNUMBER(SEARCH("|MORAL_ADVICE|","|"&amp;Master_Dataset!$AH41&amp;"|")),1,0)</f>
        <v>0</v>
      </c>
      <c r="R41" s="60" t="n">
        <f aca="false">IF(ISNUMBER(SEARCH("|HOPE_RESILIENCE|","|"&amp;Master_Dataset!$AH41&amp;"|")),1,0)</f>
        <v>0</v>
      </c>
      <c r="S41" s="60" t="n">
        <f aca="false">IF(ISNUMBER(SEARCH("|RELIGION_FATE|","|"&amp;Master_Dataset!$AH41&amp;"|")),1,0)</f>
        <v>0</v>
      </c>
      <c r="T41" s="60" t="n">
        <f aca="false">IF(ISNUMBER(SEARCH("|MORTALITY_RISK|","|"&amp;Master_Dataset!$AH41&amp;"|")),1,0)</f>
        <v>1</v>
      </c>
      <c r="U41" s="60" t="n">
        <f aca="false">IF(ISNUMBER(SEARCH("|INSTITUTION_CRITIQUE|","|"&amp;Master_Dataset!$AH41&amp;"|")),1,0)</f>
        <v>0</v>
      </c>
      <c r="V41" s="60" t="n">
        <f aca="false">IF(ISNUMBER(SEARCH("|PLACE_IDENTITY|","|"&amp;Master_Dataset!$AH41&amp;"|")),1,0)</f>
        <v>0</v>
      </c>
      <c r="W41" s="60" t="n">
        <f aca="false">IF(ISNUMBER(SEARCH("|HUMOR|","|"&amp;Master_Dataset!$AH41&amp;"|")),1,0)</f>
        <v>0</v>
      </c>
      <c r="X41" s="60" t="n">
        <f aca="false">IF(ISNUMBER(SEARCH("|CODE_MIXING_SLANG|","|"&amp;Master_Dataset!$AH41&amp;"|")),1,0)</f>
        <v>0</v>
      </c>
    </row>
    <row r="42" customFormat="false" ht="15" hidden="false" customHeight="true" outlineLevel="0" collapsed="false">
      <c r="A42" s="60" t="n">
        <f aca="false">Master_Dataset!A42</f>
        <v>41</v>
      </c>
      <c r="B42" s="60" t="n">
        <f aca="false">IF(ISNUMBER(SEARCH("|LOVE_ROMANCE|","|"&amp;Master_Dataset!$AH42&amp;"|")),1,0)</f>
        <v>1</v>
      </c>
      <c r="C42" s="60" t="n">
        <f aca="false">IF(ISNUMBER(SEARCH("|SEPARATION_LOSS|","|"&amp;Master_Dataset!$AH42&amp;"|")),1,0)</f>
        <v>1</v>
      </c>
      <c r="D42" s="60" t="n">
        <f aca="false">IF(ISNUMBER(SEARCH("|FAMILY|","|"&amp;Master_Dataset!$AH42&amp;"|")),1,0)</f>
        <v>0</v>
      </c>
      <c r="E42" s="60" t="n">
        <f aca="false">IF(ISNUMBER(SEARCH("|MONEY_MATERIALISM|","|"&amp;Master_Dataset!$AH42&amp;"|")),1,0)</f>
        <v>0</v>
      </c>
      <c r="F42" s="60" t="n">
        <f aca="false">IF(ISNUMBER(SEARCH("|CLASS_INEQUALITY_CRITIQUE|","|"&amp;Master_Dataset!$AH42&amp;"|")),1,0)</f>
        <v>0</v>
      </c>
      <c r="G42" s="60" t="n">
        <f aca="false">IF(ISNUMBER(SEARCH("|CONSUMER_STATUS|","|"&amp;Master_Dataset!$AH42&amp;"|")),1,0)</f>
        <v>0</v>
      </c>
      <c r="H42" s="60" t="n">
        <f aca="false">IF(ISNUMBER(SEARCH("|MIGRATION|","|"&amp;Master_Dataset!$AH42&amp;"|")),1,0)</f>
        <v>0</v>
      </c>
      <c r="I42" s="60" t="n">
        <f aca="false">IF(ISNUMBER(SEARCH("|EDUCATION|","|"&amp;Master_Dataset!$AH42&amp;"|")),1,0)</f>
        <v>0</v>
      </c>
      <c r="J42" s="60" t="n">
        <f aca="false">IF(ISNUMBER(SEARCH("|DRIVER_IDENTITY|","|"&amp;Master_Dataset!$AH42&amp;"|")),1,0)</f>
        <v>0</v>
      </c>
      <c r="K42" s="60" t="n">
        <f aca="false">IF(ISNUMBER(SEARCH("|LABOR_DIGNITY|","|"&amp;Master_Dataset!$AH42&amp;"|")),1,0)</f>
        <v>0</v>
      </c>
      <c r="L42" s="60" t="n">
        <f aca="false">IF(ISNUMBER(SEARCH("|FARE_LIVELIHOOD|","|"&amp;Master_Dataset!$AH42&amp;"|")),1,0)</f>
        <v>0</v>
      </c>
      <c r="M42" s="60" t="n">
        <f aca="false">IF(ISNUMBER(SEARCH("|MASCULINITY|","|"&amp;Master_Dataset!$AH42&amp;"|")),1,0)</f>
        <v>0</v>
      </c>
      <c r="N42" s="60" t="n">
        <f aca="false">IF(ISNUMBER(SEARCH("|WOMEN_REPRESENTATION|","|"&amp;Master_Dataset!$AH42&amp;"|")),1,0)</f>
        <v>0</v>
      </c>
      <c r="O42" s="60" t="n">
        <f aca="false">IF(ISNUMBER(SEARCH("|SELF_RESPECT|","|"&amp;Master_Dataset!$AH42&amp;"|")),1,0)</f>
        <v>0</v>
      </c>
      <c r="P42" s="60" t="n">
        <f aca="false">IF(ISNUMBER(SEARCH("|DISTRUST_HYPOCRISY|","|"&amp;Master_Dataset!$AH42&amp;"|")),1,0)</f>
        <v>0</v>
      </c>
      <c r="Q42" s="60" t="n">
        <f aca="false">IF(ISNUMBER(SEARCH("|MORAL_ADVICE|","|"&amp;Master_Dataset!$AH42&amp;"|")),1,0)</f>
        <v>0</v>
      </c>
      <c r="R42" s="60" t="n">
        <f aca="false">IF(ISNUMBER(SEARCH("|HOPE_RESILIENCE|","|"&amp;Master_Dataset!$AH42&amp;"|")),1,0)</f>
        <v>0</v>
      </c>
      <c r="S42" s="60" t="n">
        <f aca="false">IF(ISNUMBER(SEARCH("|RELIGION_FATE|","|"&amp;Master_Dataset!$AH42&amp;"|")),1,0)</f>
        <v>0</v>
      </c>
      <c r="T42" s="60" t="n">
        <f aca="false">IF(ISNUMBER(SEARCH("|MORTALITY_RISK|","|"&amp;Master_Dataset!$AH42&amp;"|")),1,0)</f>
        <v>0</v>
      </c>
      <c r="U42" s="60" t="n">
        <f aca="false">IF(ISNUMBER(SEARCH("|INSTITUTION_CRITIQUE|","|"&amp;Master_Dataset!$AH42&amp;"|")),1,0)</f>
        <v>0</v>
      </c>
      <c r="V42" s="60" t="n">
        <f aca="false">IF(ISNUMBER(SEARCH("|PLACE_IDENTITY|","|"&amp;Master_Dataset!$AH42&amp;"|")),1,0)</f>
        <v>0</v>
      </c>
      <c r="W42" s="60" t="n">
        <f aca="false">IF(ISNUMBER(SEARCH("|HUMOR|","|"&amp;Master_Dataset!$AH42&amp;"|")),1,0)</f>
        <v>0</v>
      </c>
      <c r="X42" s="60" t="n">
        <f aca="false">IF(ISNUMBER(SEARCH("|CODE_MIXING_SLANG|","|"&amp;Master_Dataset!$AH42&amp;"|")),1,0)</f>
        <v>0</v>
      </c>
    </row>
    <row r="43" customFormat="false" ht="15" hidden="false" customHeight="true" outlineLevel="0" collapsed="false">
      <c r="A43" s="60" t="n">
        <f aca="false">Master_Dataset!A43</f>
        <v>42</v>
      </c>
      <c r="B43" s="60" t="n">
        <f aca="false">IF(ISNUMBER(SEARCH("|LOVE_ROMANCE|","|"&amp;Master_Dataset!$AH43&amp;"|")),1,0)</f>
        <v>0</v>
      </c>
      <c r="C43" s="60" t="n">
        <f aca="false">IF(ISNUMBER(SEARCH("|SEPARATION_LOSS|","|"&amp;Master_Dataset!$AH43&amp;"|")),1,0)</f>
        <v>0</v>
      </c>
      <c r="D43" s="60" t="n">
        <f aca="false">IF(ISNUMBER(SEARCH("|FAMILY|","|"&amp;Master_Dataset!$AH43&amp;"|")),1,0)</f>
        <v>1</v>
      </c>
      <c r="E43" s="60" t="n">
        <f aca="false">IF(ISNUMBER(SEARCH("|MONEY_MATERIALISM|","|"&amp;Master_Dataset!$AH43&amp;"|")),1,0)</f>
        <v>1</v>
      </c>
      <c r="F43" s="60" t="n">
        <f aca="false">IF(ISNUMBER(SEARCH("|CLASS_INEQUALITY_CRITIQUE|","|"&amp;Master_Dataset!$AH43&amp;"|")),1,0)</f>
        <v>1</v>
      </c>
      <c r="G43" s="60" t="n">
        <f aca="false">IF(ISNUMBER(SEARCH("|CONSUMER_STATUS|","|"&amp;Master_Dataset!$AH43&amp;"|")),1,0)</f>
        <v>0</v>
      </c>
      <c r="H43" s="60" t="n">
        <f aca="false">IF(ISNUMBER(SEARCH("|MIGRATION|","|"&amp;Master_Dataset!$AH43&amp;"|")),1,0)</f>
        <v>0</v>
      </c>
      <c r="I43" s="60" t="n">
        <f aca="false">IF(ISNUMBER(SEARCH("|EDUCATION|","|"&amp;Master_Dataset!$AH43&amp;"|")),1,0)</f>
        <v>0</v>
      </c>
      <c r="J43" s="60" t="n">
        <f aca="false">IF(ISNUMBER(SEARCH("|DRIVER_IDENTITY|","|"&amp;Master_Dataset!$AH43&amp;"|")),1,0)</f>
        <v>0</v>
      </c>
      <c r="K43" s="60" t="n">
        <f aca="false">IF(ISNUMBER(SEARCH("|LABOR_DIGNITY|","|"&amp;Master_Dataset!$AH43&amp;"|")),1,0)</f>
        <v>0</v>
      </c>
      <c r="L43" s="60" t="n">
        <f aca="false">IF(ISNUMBER(SEARCH("|FARE_LIVELIHOOD|","|"&amp;Master_Dataset!$AH43&amp;"|")),1,0)</f>
        <v>0</v>
      </c>
      <c r="M43" s="60" t="n">
        <f aca="false">IF(ISNUMBER(SEARCH("|MASCULINITY|","|"&amp;Master_Dataset!$AH43&amp;"|")),1,0)</f>
        <v>0</v>
      </c>
      <c r="N43" s="60" t="n">
        <f aca="false">IF(ISNUMBER(SEARCH("|WOMEN_REPRESENTATION|","|"&amp;Master_Dataset!$AH43&amp;"|")),1,0)</f>
        <v>0</v>
      </c>
      <c r="O43" s="60" t="n">
        <f aca="false">IF(ISNUMBER(SEARCH("|SELF_RESPECT|","|"&amp;Master_Dataset!$AH43&amp;"|")),1,0)</f>
        <v>1</v>
      </c>
      <c r="P43" s="60" t="n">
        <f aca="false">IF(ISNUMBER(SEARCH("|DISTRUST_HYPOCRISY|","|"&amp;Master_Dataset!$AH43&amp;"|")),1,0)</f>
        <v>0</v>
      </c>
      <c r="Q43" s="60" t="n">
        <f aca="false">IF(ISNUMBER(SEARCH("|MORAL_ADVICE|","|"&amp;Master_Dataset!$AH43&amp;"|")),1,0)</f>
        <v>1</v>
      </c>
      <c r="R43" s="60" t="n">
        <f aca="false">IF(ISNUMBER(SEARCH("|HOPE_RESILIENCE|","|"&amp;Master_Dataset!$AH43&amp;"|")),1,0)</f>
        <v>0</v>
      </c>
      <c r="S43" s="60" t="n">
        <f aca="false">IF(ISNUMBER(SEARCH("|RELIGION_FATE|","|"&amp;Master_Dataset!$AH43&amp;"|")),1,0)</f>
        <v>0</v>
      </c>
      <c r="T43" s="60" t="n">
        <f aca="false">IF(ISNUMBER(SEARCH("|MORTALITY_RISK|","|"&amp;Master_Dataset!$AH43&amp;"|")),1,0)</f>
        <v>0</v>
      </c>
      <c r="U43" s="60" t="n">
        <f aca="false">IF(ISNUMBER(SEARCH("|INSTITUTION_CRITIQUE|","|"&amp;Master_Dataset!$AH43&amp;"|")),1,0)</f>
        <v>0</v>
      </c>
      <c r="V43" s="60" t="n">
        <f aca="false">IF(ISNUMBER(SEARCH("|PLACE_IDENTITY|","|"&amp;Master_Dataset!$AH43&amp;"|")),1,0)</f>
        <v>0</v>
      </c>
      <c r="W43" s="60" t="n">
        <f aca="false">IF(ISNUMBER(SEARCH("|HUMOR|","|"&amp;Master_Dataset!$AH43&amp;"|")),1,0)</f>
        <v>0</v>
      </c>
      <c r="X43" s="60" t="n">
        <f aca="false">IF(ISNUMBER(SEARCH("|CODE_MIXING_SLANG|","|"&amp;Master_Dataset!$AH43&amp;"|")),1,0)</f>
        <v>0</v>
      </c>
    </row>
    <row r="44" customFormat="false" ht="15" hidden="false" customHeight="true" outlineLevel="0" collapsed="false">
      <c r="A44" s="60" t="n">
        <f aca="false">Master_Dataset!A44</f>
        <v>43</v>
      </c>
      <c r="B44" s="60" t="n">
        <f aca="false">IF(ISNUMBER(SEARCH("|LOVE_ROMANCE|","|"&amp;Master_Dataset!$AH44&amp;"|")),1,0)</f>
        <v>0</v>
      </c>
      <c r="C44" s="60" t="n">
        <f aca="false">IF(ISNUMBER(SEARCH("|SEPARATION_LOSS|","|"&amp;Master_Dataset!$AH44&amp;"|")),1,0)</f>
        <v>0</v>
      </c>
      <c r="D44" s="60" t="n">
        <f aca="false">IF(ISNUMBER(SEARCH("|FAMILY|","|"&amp;Master_Dataset!$AH44&amp;"|")),1,0)</f>
        <v>0</v>
      </c>
      <c r="E44" s="60" t="n">
        <f aca="false">IF(ISNUMBER(SEARCH("|MONEY_MATERIALISM|","|"&amp;Master_Dataset!$AH44&amp;"|")),1,0)</f>
        <v>0</v>
      </c>
      <c r="F44" s="60" t="n">
        <f aca="false">IF(ISNUMBER(SEARCH("|CLASS_INEQUALITY_CRITIQUE|","|"&amp;Master_Dataset!$AH44&amp;"|")),1,0)</f>
        <v>0</v>
      </c>
      <c r="G44" s="60" t="n">
        <f aca="false">IF(ISNUMBER(SEARCH("|CONSUMER_STATUS|","|"&amp;Master_Dataset!$AH44&amp;"|")),1,0)</f>
        <v>0</v>
      </c>
      <c r="H44" s="60" t="n">
        <f aca="false">IF(ISNUMBER(SEARCH("|MIGRATION|","|"&amp;Master_Dataset!$AH44&amp;"|")),1,0)</f>
        <v>0</v>
      </c>
      <c r="I44" s="60" t="n">
        <f aca="false">IF(ISNUMBER(SEARCH("|EDUCATION|","|"&amp;Master_Dataset!$AH44&amp;"|")),1,0)</f>
        <v>0</v>
      </c>
      <c r="J44" s="60" t="n">
        <f aca="false">IF(ISNUMBER(SEARCH("|DRIVER_IDENTITY|","|"&amp;Master_Dataset!$AH44&amp;"|")),1,0)</f>
        <v>0</v>
      </c>
      <c r="K44" s="60" t="n">
        <f aca="false">IF(ISNUMBER(SEARCH("|LABOR_DIGNITY|","|"&amp;Master_Dataset!$AH44&amp;"|")),1,0)</f>
        <v>0</v>
      </c>
      <c r="L44" s="60" t="n">
        <f aca="false">IF(ISNUMBER(SEARCH("|FARE_LIVELIHOOD|","|"&amp;Master_Dataset!$AH44&amp;"|")),1,0)</f>
        <v>0</v>
      </c>
      <c r="M44" s="60" t="n">
        <f aca="false">IF(ISNUMBER(SEARCH("|MASCULINITY|","|"&amp;Master_Dataset!$AH44&amp;"|")),1,0)</f>
        <v>0</v>
      </c>
      <c r="N44" s="60" t="n">
        <f aca="false">IF(ISNUMBER(SEARCH("|WOMEN_REPRESENTATION|","|"&amp;Master_Dataset!$AH44&amp;"|")),1,0)</f>
        <v>0</v>
      </c>
      <c r="O44" s="60" t="n">
        <f aca="false">IF(ISNUMBER(SEARCH("|SELF_RESPECT|","|"&amp;Master_Dataset!$AH44&amp;"|")),1,0)</f>
        <v>0</v>
      </c>
      <c r="P44" s="60" t="n">
        <f aca="false">IF(ISNUMBER(SEARCH("|DISTRUST_HYPOCRISY|","|"&amp;Master_Dataset!$AH44&amp;"|")),1,0)</f>
        <v>1</v>
      </c>
      <c r="Q44" s="60" t="n">
        <f aca="false">IF(ISNUMBER(SEARCH("|MORAL_ADVICE|","|"&amp;Master_Dataset!$AH44&amp;"|")),1,0)</f>
        <v>1</v>
      </c>
      <c r="R44" s="60" t="n">
        <f aca="false">IF(ISNUMBER(SEARCH("|HOPE_RESILIENCE|","|"&amp;Master_Dataset!$AH44&amp;"|")),1,0)</f>
        <v>0</v>
      </c>
      <c r="S44" s="60" t="n">
        <f aca="false">IF(ISNUMBER(SEARCH("|RELIGION_FATE|","|"&amp;Master_Dataset!$AH44&amp;"|")),1,0)</f>
        <v>0</v>
      </c>
      <c r="T44" s="60" t="n">
        <f aca="false">IF(ISNUMBER(SEARCH("|MORTALITY_RISK|","|"&amp;Master_Dataset!$AH44&amp;"|")),1,0)</f>
        <v>0</v>
      </c>
      <c r="U44" s="60" t="n">
        <f aca="false">IF(ISNUMBER(SEARCH("|INSTITUTION_CRITIQUE|","|"&amp;Master_Dataset!$AH44&amp;"|")),1,0)</f>
        <v>0</v>
      </c>
      <c r="V44" s="60" t="n">
        <f aca="false">IF(ISNUMBER(SEARCH("|PLACE_IDENTITY|","|"&amp;Master_Dataset!$AH44&amp;"|")),1,0)</f>
        <v>0</v>
      </c>
      <c r="W44" s="60" t="n">
        <f aca="false">IF(ISNUMBER(SEARCH("|HUMOR|","|"&amp;Master_Dataset!$AH44&amp;"|")),1,0)</f>
        <v>0</v>
      </c>
      <c r="X44" s="60" t="n">
        <f aca="false">IF(ISNUMBER(SEARCH("|CODE_MIXING_SLANG|","|"&amp;Master_Dataset!$AH44&amp;"|")),1,0)</f>
        <v>0</v>
      </c>
    </row>
    <row r="45" customFormat="false" ht="15" hidden="false" customHeight="true" outlineLevel="0" collapsed="false">
      <c r="A45" s="60" t="n">
        <f aca="false">Master_Dataset!A45</f>
        <v>44</v>
      </c>
      <c r="B45" s="60" t="n">
        <f aca="false">IF(ISNUMBER(SEARCH("|LOVE_ROMANCE|","|"&amp;Master_Dataset!$AH45&amp;"|")),1,0)</f>
        <v>0</v>
      </c>
      <c r="C45" s="60" t="n">
        <f aca="false">IF(ISNUMBER(SEARCH("|SEPARATION_LOSS|","|"&amp;Master_Dataset!$AH45&amp;"|")),1,0)</f>
        <v>0</v>
      </c>
      <c r="D45" s="60" t="n">
        <f aca="false">IF(ISNUMBER(SEARCH("|FAMILY|","|"&amp;Master_Dataset!$AH45&amp;"|")),1,0)</f>
        <v>0</v>
      </c>
      <c r="E45" s="60" t="n">
        <f aca="false">IF(ISNUMBER(SEARCH("|MONEY_MATERIALISM|","|"&amp;Master_Dataset!$AH45&amp;"|")),1,0)</f>
        <v>0</v>
      </c>
      <c r="F45" s="60" t="n">
        <f aca="false">IF(ISNUMBER(SEARCH("|CLASS_INEQUALITY_CRITIQUE|","|"&amp;Master_Dataset!$AH45&amp;"|")),1,0)</f>
        <v>0</v>
      </c>
      <c r="G45" s="60" t="n">
        <f aca="false">IF(ISNUMBER(SEARCH("|CONSUMER_STATUS|","|"&amp;Master_Dataset!$AH45&amp;"|")),1,0)</f>
        <v>0</v>
      </c>
      <c r="H45" s="60" t="n">
        <f aca="false">IF(ISNUMBER(SEARCH("|MIGRATION|","|"&amp;Master_Dataset!$AH45&amp;"|")),1,0)</f>
        <v>0</v>
      </c>
      <c r="I45" s="60" t="n">
        <f aca="false">IF(ISNUMBER(SEARCH("|EDUCATION|","|"&amp;Master_Dataset!$AH45&amp;"|")),1,0)</f>
        <v>0</v>
      </c>
      <c r="J45" s="60" t="n">
        <f aca="false">IF(ISNUMBER(SEARCH("|DRIVER_IDENTITY|","|"&amp;Master_Dataset!$AH45&amp;"|")),1,0)</f>
        <v>1</v>
      </c>
      <c r="K45" s="60" t="n">
        <f aca="false">IF(ISNUMBER(SEARCH("|LABOR_DIGNITY|","|"&amp;Master_Dataset!$AH45&amp;"|")),1,0)</f>
        <v>0</v>
      </c>
      <c r="L45" s="60" t="n">
        <f aca="false">IF(ISNUMBER(SEARCH("|FARE_LIVELIHOOD|","|"&amp;Master_Dataset!$AH45&amp;"|")),1,0)</f>
        <v>0</v>
      </c>
      <c r="M45" s="60" t="n">
        <f aca="false">IF(ISNUMBER(SEARCH("|MASCULINITY|","|"&amp;Master_Dataset!$AH45&amp;"|")),1,0)</f>
        <v>0</v>
      </c>
      <c r="N45" s="60" t="n">
        <f aca="false">IF(ISNUMBER(SEARCH("|WOMEN_REPRESENTATION|","|"&amp;Master_Dataset!$AH45&amp;"|")),1,0)</f>
        <v>0</v>
      </c>
      <c r="O45" s="60" t="n">
        <f aca="false">IF(ISNUMBER(SEARCH("|SELF_RESPECT|","|"&amp;Master_Dataset!$AH45&amp;"|")),1,0)</f>
        <v>1</v>
      </c>
      <c r="P45" s="60" t="n">
        <f aca="false">IF(ISNUMBER(SEARCH("|DISTRUST_HYPOCRISY|","|"&amp;Master_Dataset!$AH45&amp;"|")),1,0)</f>
        <v>0</v>
      </c>
      <c r="Q45" s="60" t="n">
        <f aca="false">IF(ISNUMBER(SEARCH("|MORAL_ADVICE|","|"&amp;Master_Dataset!$AH45&amp;"|")),1,0)</f>
        <v>0</v>
      </c>
      <c r="R45" s="60" t="n">
        <f aca="false">IF(ISNUMBER(SEARCH("|HOPE_RESILIENCE|","|"&amp;Master_Dataset!$AH45&amp;"|")),1,0)</f>
        <v>0</v>
      </c>
      <c r="S45" s="60" t="n">
        <f aca="false">IF(ISNUMBER(SEARCH("|RELIGION_FATE|","|"&amp;Master_Dataset!$AH45&amp;"|")),1,0)</f>
        <v>0</v>
      </c>
      <c r="T45" s="60" t="n">
        <f aca="false">IF(ISNUMBER(SEARCH("|MORTALITY_RISK|","|"&amp;Master_Dataset!$AH45&amp;"|")),1,0)</f>
        <v>0</v>
      </c>
      <c r="U45" s="60" t="n">
        <f aca="false">IF(ISNUMBER(SEARCH("|INSTITUTION_CRITIQUE|","|"&amp;Master_Dataset!$AH45&amp;"|")),1,0)</f>
        <v>0</v>
      </c>
      <c r="V45" s="60" t="n">
        <f aca="false">IF(ISNUMBER(SEARCH("|PLACE_IDENTITY|","|"&amp;Master_Dataset!$AH45&amp;"|")),1,0)</f>
        <v>0</v>
      </c>
      <c r="W45" s="60" t="n">
        <f aca="false">IF(ISNUMBER(SEARCH("|HUMOR|","|"&amp;Master_Dataset!$AH45&amp;"|")),1,0)</f>
        <v>1</v>
      </c>
      <c r="X45" s="60" t="n">
        <f aca="false">IF(ISNUMBER(SEARCH("|CODE_MIXING_SLANG|","|"&amp;Master_Dataset!$AH45&amp;"|")),1,0)</f>
        <v>0</v>
      </c>
    </row>
    <row r="46" customFormat="false" ht="15" hidden="false" customHeight="true" outlineLevel="0" collapsed="false">
      <c r="A46" s="60" t="n">
        <f aca="false">Master_Dataset!A46</f>
        <v>45</v>
      </c>
      <c r="B46" s="60" t="n">
        <f aca="false">IF(ISNUMBER(SEARCH("|LOVE_ROMANCE|","|"&amp;Master_Dataset!$AH46&amp;"|")),1,0)</f>
        <v>0</v>
      </c>
      <c r="C46" s="60" t="n">
        <f aca="false">IF(ISNUMBER(SEARCH("|SEPARATION_LOSS|","|"&amp;Master_Dataset!$AH46&amp;"|")),1,0)</f>
        <v>0</v>
      </c>
      <c r="D46" s="60" t="n">
        <f aca="false">IF(ISNUMBER(SEARCH("|FAMILY|","|"&amp;Master_Dataset!$AH46&amp;"|")),1,0)</f>
        <v>0</v>
      </c>
      <c r="E46" s="60" t="n">
        <f aca="false">IF(ISNUMBER(SEARCH("|MONEY_MATERIALISM|","|"&amp;Master_Dataset!$AH46&amp;"|")),1,0)</f>
        <v>0</v>
      </c>
      <c r="F46" s="60" t="n">
        <f aca="false">IF(ISNUMBER(SEARCH("|CLASS_INEQUALITY_CRITIQUE|","|"&amp;Master_Dataset!$AH46&amp;"|")),1,0)</f>
        <v>0</v>
      </c>
      <c r="G46" s="60" t="n">
        <f aca="false">IF(ISNUMBER(SEARCH("|CONSUMER_STATUS|","|"&amp;Master_Dataset!$AH46&amp;"|")),1,0)</f>
        <v>0</v>
      </c>
      <c r="H46" s="60" t="n">
        <f aca="false">IF(ISNUMBER(SEARCH("|MIGRATION|","|"&amp;Master_Dataset!$AH46&amp;"|")),1,0)</f>
        <v>0</v>
      </c>
      <c r="I46" s="60" t="n">
        <f aca="false">IF(ISNUMBER(SEARCH("|EDUCATION|","|"&amp;Master_Dataset!$AH46&amp;"|")),1,0)</f>
        <v>0</v>
      </c>
      <c r="J46" s="60" t="n">
        <f aca="false">IF(ISNUMBER(SEARCH("|DRIVER_IDENTITY|","|"&amp;Master_Dataset!$AH46&amp;"|")),1,0)</f>
        <v>0</v>
      </c>
      <c r="K46" s="60" t="n">
        <f aca="false">IF(ISNUMBER(SEARCH("|LABOR_DIGNITY|","|"&amp;Master_Dataset!$AH46&amp;"|")),1,0)</f>
        <v>0</v>
      </c>
      <c r="L46" s="60" t="n">
        <f aca="false">IF(ISNUMBER(SEARCH("|FARE_LIVELIHOOD|","|"&amp;Master_Dataset!$AH46&amp;"|")),1,0)</f>
        <v>0</v>
      </c>
      <c r="M46" s="60" t="n">
        <f aca="false">IF(ISNUMBER(SEARCH("|MASCULINITY|","|"&amp;Master_Dataset!$AH46&amp;"|")),1,0)</f>
        <v>0</v>
      </c>
      <c r="N46" s="60" t="n">
        <f aca="false">IF(ISNUMBER(SEARCH("|WOMEN_REPRESENTATION|","|"&amp;Master_Dataset!$AH46&amp;"|")),1,0)</f>
        <v>0</v>
      </c>
      <c r="O46" s="60" t="n">
        <f aca="false">IF(ISNUMBER(SEARCH("|SELF_RESPECT|","|"&amp;Master_Dataset!$AH46&amp;"|")),1,0)</f>
        <v>0</v>
      </c>
      <c r="P46" s="60" t="n">
        <f aca="false">IF(ISNUMBER(SEARCH("|DISTRUST_HYPOCRISY|","|"&amp;Master_Dataset!$AH46&amp;"|")),1,0)</f>
        <v>0</v>
      </c>
      <c r="Q46" s="60" t="n">
        <f aca="false">IF(ISNUMBER(SEARCH("|MORAL_ADVICE|","|"&amp;Master_Dataset!$AH46&amp;"|")),1,0)</f>
        <v>0</v>
      </c>
      <c r="R46" s="60" t="n">
        <f aca="false">IF(ISNUMBER(SEARCH("|HOPE_RESILIENCE|","|"&amp;Master_Dataset!$AH46&amp;"|")),1,0)</f>
        <v>1</v>
      </c>
      <c r="S46" s="60" t="n">
        <f aca="false">IF(ISNUMBER(SEARCH("|RELIGION_FATE|","|"&amp;Master_Dataset!$AH46&amp;"|")),1,0)</f>
        <v>0</v>
      </c>
      <c r="T46" s="60" t="n">
        <f aca="false">IF(ISNUMBER(SEARCH("|MORTALITY_RISK|","|"&amp;Master_Dataset!$AH46&amp;"|")),1,0)</f>
        <v>0</v>
      </c>
      <c r="U46" s="60" t="n">
        <f aca="false">IF(ISNUMBER(SEARCH("|INSTITUTION_CRITIQUE|","|"&amp;Master_Dataset!$AH46&amp;"|")),1,0)</f>
        <v>0</v>
      </c>
      <c r="V46" s="60" t="n">
        <f aca="false">IF(ISNUMBER(SEARCH("|PLACE_IDENTITY|","|"&amp;Master_Dataset!$AH46&amp;"|")),1,0)</f>
        <v>0</v>
      </c>
      <c r="W46" s="60" t="n">
        <f aca="false">IF(ISNUMBER(SEARCH("|HUMOR|","|"&amp;Master_Dataset!$AH46&amp;"|")),1,0)</f>
        <v>0</v>
      </c>
      <c r="X46" s="60" t="n">
        <f aca="false">IF(ISNUMBER(SEARCH("|CODE_MIXING_SLANG|","|"&amp;Master_Dataset!$AH46&amp;"|")),1,0)</f>
        <v>0</v>
      </c>
    </row>
    <row r="47" customFormat="false" ht="15" hidden="false" customHeight="true" outlineLevel="0" collapsed="false">
      <c r="A47" s="60" t="n">
        <f aca="false">Master_Dataset!A47</f>
        <v>46</v>
      </c>
      <c r="B47" s="60" t="n">
        <f aca="false">IF(ISNUMBER(SEARCH("|LOVE_ROMANCE|","|"&amp;Master_Dataset!$AH47&amp;"|")),1,0)</f>
        <v>0</v>
      </c>
      <c r="C47" s="60" t="n">
        <f aca="false">IF(ISNUMBER(SEARCH("|SEPARATION_LOSS|","|"&amp;Master_Dataset!$AH47&amp;"|")),1,0)</f>
        <v>0</v>
      </c>
      <c r="D47" s="60" t="n">
        <f aca="false">IF(ISNUMBER(SEARCH("|FAMILY|","|"&amp;Master_Dataset!$AH47&amp;"|")),1,0)</f>
        <v>1</v>
      </c>
      <c r="E47" s="60" t="n">
        <f aca="false">IF(ISNUMBER(SEARCH("|MONEY_MATERIALISM|","|"&amp;Master_Dataset!$AH47&amp;"|")),1,0)</f>
        <v>1</v>
      </c>
      <c r="F47" s="60" t="n">
        <f aca="false">IF(ISNUMBER(SEARCH("|CLASS_INEQUALITY_CRITIQUE|","|"&amp;Master_Dataset!$AH47&amp;"|")),1,0)</f>
        <v>0</v>
      </c>
      <c r="G47" s="60" t="n">
        <f aca="false">IF(ISNUMBER(SEARCH("|CONSUMER_STATUS|","|"&amp;Master_Dataset!$AH47&amp;"|")),1,0)</f>
        <v>0</v>
      </c>
      <c r="H47" s="60" t="n">
        <f aca="false">IF(ISNUMBER(SEARCH("|MIGRATION|","|"&amp;Master_Dataset!$AH47&amp;"|")),1,0)</f>
        <v>0</v>
      </c>
      <c r="I47" s="60" t="n">
        <f aca="false">IF(ISNUMBER(SEARCH("|EDUCATION|","|"&amp;Master_Dataset!$AH47&amp;"|")),1,0)</f>
        <v>0</v>
      </c>
      <c r="J47" s="60" t="n">
        <f aca="false">IF(ISNUMBER(SEARCH("|DRIVER_IDENTITY|","|"&amp;Master_Dataset!$AH47&amp;"|")),1,0)</f>
        <v>0</v>
      </c>
      <c r="K47" s="60" t="n">
        <f aca="false">IF(ISNUMBER(SEARCH("|LABOR_DIGNITY|","|"&amp;Master_Dataset!$AH47&amp;"|")),1,0)</f>
        <v>1</v>
      </c>
      <c r="L47" s="60" t="n">
        <f aca="false">IF(ISNUMBER(SEARCH("|FARE_LIVELIHOOD|","|"&amp;Master_Dataset!$AH47&amp;"|")),1,0)</f>
        <v>0</v>
      </c>
      <c r="M47" s="60" t="n">
        <f aca="false">IF(ISNUMBER(SEARCH("|MASCULINITY|","|"&amp;Master_Dataset!$AH47&amp;"|")),1,0)</f>
        <v>0</v>
      </c>
      <c r="N47" s="60" t="n">
        <f aca="false">IF(ISNUMBER(SEARCH("|WOMEN_REPRESENTATION|","|"&amp;Master_Dataset!$AH47&amp;"|")),1,0)</f>
        <v>0</v>
      </c>
      <c r="O47" s="60" t="n">
        <f aca="false">IF(ISNUMBER(SEARCH("|SELF_RESPECT|","|"&amp;Master_Dataset!$AH47&amp;"|")),1,0)</f>
        <v>0</v>
      </c>
      <c r="P47" s="60" t="n">
        <f aca="false">IF(ISNUMBER(SEARCH("|DISTRUST_HYPOCRISY|","|"&amp;Master_Dataset!$AH47&amp;"|")),1,0)</f>
        <v>0</v>
      </c>
      <c r="Q47" s="60" t="n">
        <f aca="false">IF(ISNUMBER(SEARCH("|MORAL_ADVICE|","|"&amp;Master_Dataset!$AH47&amp;"|")),1,0)</f>
        <v>0</v>
      </c>
      <c r="R47" s="60" t="n">
        <f aca="false">IF(ISNUMBER(SEARCH("|HOPE_RESILIENCE|","|"&amp;Master_Dataset!$AH47&amp;"|")),1,0)</f>
        <v>0</v>
      </c>
      <c r="S47" s="60" t="n">
        <f aca="false">IF(ISNUMBER(SEARCH("|RELIGION_FATE|","|"&amp;Master_Dataset!$AH47&amp;"|")),1,0)</f>
        <v>0</v>
      </c>
      <c r="T47" s="60" t="n">
        <f aca="false">IF(ISNUMBER(SEARCH("|MORTALITY_RISK|","|"&amp;Master_Dataset!$AH47&amp;"|")),1,0)</f>
        <v>0</v>
      </c>
      <c r="U47" s="60" t="n">
        <f aca="false">IF(ISNUMBER(SEARCH("|INSTITUTION_CRITIQUE|","|"&amp;Master_Dataset!$AH47&amp;"|")),1,0)</f>
        <v>0</v>
      </c>
      <c r="V47" s="60" t="n">
        <f aca="false">IF(ISNUMBER(SEARCH("|PLACE_IDENTITY|","|"&amp;Master_Dataset!$AH47&amp;"|")),1,0)</f>
        <v>0</v>
      </c>
      <c r="W47" s="60" t="n">
        <f aca="false">IF(ISNUMBER(SEARCH("|HUMOR|","|"&amp;Master_Dataset!$AH47&amp;"|")),1,0)</f>
        <v>0</v>
      </c>
      <c r="X47" s="60" t="n">
        <f aca="false">IF(ISNUMBER(SEARCH("|CODE_MIXING_SLANG|","|"&amp;Master_Dataset!$AH47&amp;"|")),1,0)</f>
        <v>0</v>
      </c>
    </row>
    <row r="48" customFormat="false" ht="15" hidden="false" customHeight="true" outlineLevel="0" collapsed="false">
      <c r="A48" s="60" t="n">
        <f aca="false">Master_Dataset!A48</f>
        <v>47</v>
      </c>
      <c r="B48" s="60" t="n">
        <f aca="false">IF(ISNUMBER(SEARCH("|LOVE_ROMANCE|","|"&amp;Master_Dataset!$AH48&amp;"|")),1,0)</f>
        <v>0</v>
      </c>
      <c r="C48" s="60" t="n">
        <f aca="false">IF(ISNUMBER(SEARCH("|SEPARATION_LOSS|","|"&amp;Master_Dataset!$AH48&amp;"|")),1,0)</f>
        <v>0</v>
      </c>
      <c r="D48" s="60" t="n">
        <f aca="false">IF(ISNUMBER(SEARCH("|FAMILY|","|"&amp;Master_Dataset!$AH48&amp;"|")),1,0)</f>
        <v>0</v>
      </c>
      <c r="E48" s="60" t="n">
        <f aca="false">IF(ISNUMBER(SEARCH("|MONEY_MATERIALISM|","|"&amp;Master_Dataset!$AH48&amp;"|")),1,0)</f>
        <v>0</v>
      </c>
      <c r="F48" s="60" t="n">
        <f aca="false">IF(ISNUMBER(SEARCH("|CLASS_INEQUALITY_CRITIQUE|","|"&amp;Master_Dataset!$AH48&amp;"|")),1,0)</f>
        <v>0</v>
      </c>
      <c r="G48" s="60" t="n">
        <f aca="false">IF(ISNUMBER(SEARCH("|CONSUMER_STATUS|","|"&amp;Master_Dataset!$AH48&amp;"|")),1,0)</f>
        <v>0</v>
      </c>
      <c r="H48" s="60" t="n">
        <f aca="false">IF(ISNUMBER(SEARCH("|MIGRATION|","|"&amp;Master_Dataset!$AH48&amp;"|")),1,0)</f>
        <v>0</v>
      </c>
      <c r="I48" s="60" t="n">
        <f aca="false">IF(ISNUMBER(SEARCH("|EDUCATION|","|"&amp;Master_Dataset!$AH48&amp;"|")),1,0)</f>
        <v>0</v>
      </c>
      <c r="J48" s="60" t="n">
        <f aca="false">IF(ISNUMBER(SEARCH("|DRIVER_IDENTITY|","|"&amp;Master_Dataset!$AH48&amp;"|")),1,0)</f>
        <v>0</v>
      </c>
      <c r="K48" s="60" t="n">
        <f aca="false">IF(ISNUMBER(SEARCH("|LABOR_DIGNITY|","|"&amp;Master_Dataset!$AH48&amp;"|")),1,0)</f>
        <v>0</v>
      </c>
      <c r="L48" s="60" t="n">
        <f aca="false">IF(ISNUMBER(SEARCH("|FARE_LIVELIHOOD|","|"&amp;Master_Dataset!$AH48&amp;"|")),1,0)</f>
        <v>0</v>
      </c>
      <c r="M48" s="60" t="n">
        <f aca="false">IF(ISNUMBER(SEARCH("|MASCULINITY|","|"&amp;Master_Dataset!$AH48&amp;"|")),1,0)</f>
        <v>0</v>
      </c>
      <c r="N48" s="60" t="n">
        <f aca="false">IF(ISNUMBER(SEARCH("|WOMEN_REPRESENTATION|","|"&amp;Master_Dataset!$AH48&amp;"|")),1,0)</f>
        <v>0</v>
      </c>
      <c r="O48" s="60" t="n">
        <f aca="false">IF(ISNUMBER(SEARCH("|SELF_RESPECT|","|"&amp;Master_Dataset!$AH48&amp;"|")),1,0)</f>
        <v>0</v>
      </c>
      <c r="P48" s="60" t="n">
        <f aca="false">IF(ISNUMBER(SEARCH("|DISTRUST_HYPOCRISY|","|"&amp;Master_Dataset!$AH48&amp;"|")),1,0)</f>
        <v>0</v>
      </c>
      <c r="Q48" s="60" t="n">
        <f aca="false">IF(ISNUMBER(SEARCH("|MORAL_ADVICE|","|"&amp;Master_Dataset!$AH48&amp;"|")),1,0)</f>
        <v>0</v>
      </c>
      <c r="R48" s="60" t="n">
        <f aca="false">IF(ISNUMBER(SEARCH("|HOPE_RESILIENCE|","|"&amp;Master_Dataset!$AH48&amp;"|")),1,0)</f>
        <v>1</v>
      </c>
      <c r="S48" s="60" t="n">
        <f aca="false">IF(ISNUMBER(SEARCH("|RELIGION_FATE|","|"&amp;Master_Dataset!$AH48&amp;"|")),1,0)</f>
        <v>0</v>
      </c>
      <c r="T48" s="60" t="n">
        <f aca="false">IF(ISNUMBER(SEARCH("|MORTALITY_RISK|","|"&amp;Master_Dataset!$AH48&amp;"|")),1,0)</f>
        <v>0</v>
      </c>
      <c r="U48" s="60" t="n">
        <f aca="false">IF(ISNUMBER(SEARCH("|INSTITUTION_CRITIQUE|","|"&amp;Master_Dataset!$AH48&amp;"|")),1,0)</f>
        <v>0</v>
      </c>
      <c r="V48" s="60" t="n">
        <f aca="false">IF(ISNUMBER(SEARCH("|PLACE_IDENTITY|","|"&amp;Master_Dataset!$AH48&amp;"|")),1,0)</f>
        <v>0</v>
      </c>
      <c r="W48" s="60" t="n">
        <f aca="false">IF(ISNUMBER(SEARCH("|HUMOR|","|"&amp;Master_Dataset!$AH48&amp;"|")),1,0)</f>
        <v>0</v>
      </c>
      <c r="X48" s="60" t="n">
        <f aca="false">IF(ISNUMBER(SEARCH("|CODE_MIXING_SLANG|","|"&amp;Master_Dataset!$AH48&amp;"|")),1,0)</f>
        <v>0</v>
      </c>
    </row>
    <row r="49" customFormat="false" ht="15" hidden="false" customHeight="true" outlineLevel="0" collapsed="false">
      <c r="A49" s="60" t="n">
        <f aca="false">Master_Dataset!A49</f>
        <v>48</v>
      </c>
      <c r="B49" s="60" t="n">
        <f aca="false">IF(ISNUMBER(SEARCH("|LOVE_ROMANCE|","|"&amp;Master_Dataset!$AH49&amp;"|")),1,0)</f>
        <v>0</v>
      </c>
      <c r="C49" s="60" t="n">
        <f aca="false">IF(ISNUMBER(SEARCH("|SEPARATION_LOSS|","|"&amp;Master_Dataset!$AH49&amp;"|")),1,0)</f>
        <v>0</v>
      </c>
      <c r="D49" s="60" t="n">
        <f aca="false">IF(ISNUMBER(SEARCH("|FAMILY|","|"&amp;Master_Dataset!$AH49&amp;"|")),1,0)</f>
        <v>0</v>
      </c>
      <c r="E49" s="60" t="n">
        <f aca="false">IF(ISNUMBER(SEARCH("|MONEY_MATERIALISM|","|"&amp;Master_Dataset!$AH49&amp;"|")),1,0)</f>
        <v>0</v>
      </c>
      <c r="F49" s="60" t="n">
        <f aca="false">IF(ISNUMBER(SEARCH("|CLASS_INEQUALITY_CRITIQUE|","|"&amp;Master_Dataset!$AH49&amp;"|")),1,0)</f>
        <v>0</v>
      </c>
      <c r="G49" s="60" t="n">
        <f aca="false">IF(ISNUMBER(SEARCH("|CONSUMER_STATUS|","|"&amp;Master_Dataset!$AH49&amp;"|")),1,0)</f>
        <v>0</v>
      </c>
      <c r="H49" s="60" t="n">
        <f aca="false">IF(ISNUMBER(SEARCH("|MIGRATION|","|"&amp;Master_Dataset!$AH49&amp;"|")),1,0)</f>
        <v>0</v>
      </c>
      <c r="I49" s="60" t="n">
        <f aca="false">IF(ISNUMBER(SEARCH("|EDUCATION|","|"&amp;Master_Dataset!$AH49&amp;"|")),1,0)</f>
        <v>0</v>
      </c>
      <c r="J49" s="60" t="n">
        <f aca="false">IF(ISNUMBER(SEARCH("|DRIVER_IDENTITY|","|"&amp;Master_Dataset!$AH49&amp;"|")),1,0)</f>
        <v>0</v>
      </c>
      <c r="K49" s="60" t="n">
        <f aca="false">IF(ISNUMBER(SEARCH("|LABOR_DIGNITY|","|"&amp;Master_Dataset!$AH49&amp;"|")),1,0)</f>
        <v>0</v>
      </c>
      <c r="L49" s="60" t="n">
        <f aca="false">IF(ISNUMBER(SEARCH("|FARE_LIVELIHOOD|","|"&amp;Master_Dataset!$AH49&amp;"|")),1,0)</f>
        <v>0</v>
      </c>
      <c r="M49" s="60" t="n">
        <f aca="false">IF(ISNUMBER(SEARCH("|MASCULINITY|","|"&amp;Master_Dataset!$AH49&amp;"|")),1,0)</f>
        <v>0</v>
      </c>
      <c r="N49" s="60" t="n">
        <f aca="false">IF(ISNUMBER(SEARCH("|WOMEN_REPRESENTATION|","|"&amp;Master_Dataset!$AH49&amp;"|")),1,0)</f>
        <v>0</v>
      </c>
      <c r="O49" s="60" t="n">
        <f aca="false">IF(ISNUMBER(SEARCH("|SELF_RESPECT|","|"&amp;Master_Dataset!$AH49&amp;"|")),1,0)</f>
        <v>1</v>
      </c>
      <c r="P49" s="60" t="n">
        <f aca="false">IF(ISNUMBER(SEARCH("|DISTRUST_HYPOCRISY|","|"&amp;Master_Dataset!$AH49&amp;"|")),1,0)</f>
        <v>0</v>
      </c>
      <c r="Q49" s="60" t="n">
        <f aca="false">IF(ISNUMBER(SEARCH("|MORAL_ADVICE|","|"&amp;Master_Dataset!$AH49&amp;"|")),1,0)</f>
        <v>1</v>
      </c>
      <c r="R49" s="60" t="n">
        <f aca="false">IF(ISNUMBER(SEARCH("|HOPE_RESILIENCE|","|"&amp;Master_Dataset!$AH49&amp;"|")),1,0)</f>
        <v>0</v>
      </c>
      <c r="S49" s="60" t="n">
        <f aca="false">IF(ISNUMBER(SEARCH("|RELIGION_FATE|","|"&amp;Master_Dataset!$AH49&amp;"|")),1,0)</f>
        <v>0</v>
      </c>
      <c r="T49" s="60" t="n">
        <f aca="false">IF(ISNUMBER(SEARCH("|MORTALITY_RISK|","|"&amp;Master_Dataset!$AH49&amp;"|")),1,0)</f>
        <v>0</v>
      </c>
      <c r="U49" s="60" t="n">
        <f aca="false">IF(ISNUMBER(SEARCH("|INSTITUTION_CRITIQUE|","|"&amp;Master_Dataset!$AH49&amp;"|")),1,0)</f>
        <v>0</v>
      </c>
      <c r="V49" s="60" t="n">
        <f aca="false">IF(ISNUMBER(SEARCH("|PLACE_IDENTITY|","|"&amp;Master_Dataset!$AH49&amp;"|")),1,0)</f>
        <v>0</v>
      </c>
      <c r="W49" s="60" t="n">
        <f aca="false">IF(ISNUMBER(SEARCH("|HUMOR|","|"&amp;Master_Dataset!$AH49&amp;"|")),1,0)</f>
        <v>0</v>
      </c>
      <c r="X49" s="60" t="n">
        <f aca="false">IF(ISNUMBER(SEARCH("|CODE_MIXING_SLANG|","|"&amp;Master_Dataset!$AH49&amp;"|")),1,0)</f>
        <v>0</v>
      </c>
    </row>
    <row r="50" customFormat="false" ht="15" hidden="false" customHeight="true" outlineLevel="0" collapsed="false">
      <c r="A50" s="60" t="n">
        <f aca="false">Master_Dataset!A50</f>
        <v>49</v>
      </c>
      <c r="B50" s="60" t="n">
        <f aca="false">IF(ISNUMBER(SEARCH("|LOVE_ROMANCE|","|"&amp;Master_Dataset!$AH50&amp;"|")),1,0)</f>
        <v>1</v>
      </c>
      <c r="C50" s="60" t="n">
        <f aca="false">IF(ISNUMBER(SEARCH("|SEPARATION_LOSS|","|"&amp;Master_Dataset!$AH50&amp;"|")),1,0)</f>
        <v>0</v>
      </c>
      <c r="D50" s="60" t="n">
        <f aca="false">IF(ISNUMBER(SEARCH("|FAMILY|","|"&amp;Master_Dataset!$AH50&amp;"|")),1,0)</f>
        <v>0</v>
      </c>
      <c r="E50" s="60" t="n">
        <f aca="false">IF(ISNUMBER(SEARCH("|MONEY_MATERIALISM|","|"&amp;Master_Dataset!$AH50&amp;"|")),1,0)</f>
        <v>0</v>
      </c>
      <c r="F50" s="60" t="n">
        <f aca="false">IF(ISNUMBER(SEARCH("|CLASS_INEQUALITY_CRITIQUE|","|"&amp;Master_Dataset!$AH50&amp;"|")),1,0)</f>
        <v>0</v>
      </c>
      <c r="G50" s="60" t="n">
        <f aca="false">IF(ISNUMBER(SEARCH("|CONSUMER_STATUS|","|"&amp;Master_Dataset!$AH50&amp;"|")),1,0)</f>
        <v>0</v>
      </c>
      <c r="H50" s="60" t="n">
        <f aca="false">IF(ISNUMBER(SEARCH("|MIGRATION|","|"&amp;Master_Dataset!$AH50&amp;"|")),1,0)</f>
        <v>0</v>
      </c>
      <c r="I50" s="60" t="n">
        <f aca="false">IF(ISNUMBER(SEARCH("|EDUCATION|","|"&amp;Master_Dataset!$AH50&amp;"|")),1,0)</f>
        <v>0</v>
      </c>
      <c r="J50" s="60" t="n">
        <f aca="false">IF(ISNUMBER(SEARCH("|DRIVER_IDENTITY|","|"&amp;Master_Dataset!$AH50&amp;"|")),1,0)</f>
        <v>1</v>
      </c>
      <c r="K50" s="60" t="n">
        <f aca="false">IF(ISNUMBER(SEARCH("|LABOR_DIGNITY|","|"&amp;Master_Dataset!$AH50&amp;"|")),1,0)</f>
        <v>1</v>
      </c>
      <c r="L50" s="60" t="n">
        <f aca="false">IF(ISNUMBER(SEARCH("|FARE_LIVELIHOOD|","|"&amp;Master_Dataset!$AH50&amp;"|")),1,0)</f>
        <v>0</v>
      </c>
      <c r="M50" s="60" t="n">
        <f aca="false">IF(ISNUMBER(SEARCH("|MASCULINITY|","|"&amp;Master_Dataset!$AH50&amp;"|")),1,0)</f>
        <v>0</v>
      </c>
      <c r="N50" s="60" t="n">
        <f aca="false">IF(ISNUMBER(SEARCH("|WOMEN_REPRESENTATION|","|"&amp;Master_Dataset!$AH50&amp;"|")),1,0)</f>
        <v>0</v>
      </c>
      <c r="O50" s="60" t="n">
        <f aca="false">IF(ISNUMBER(SEARCH("|SELF_RESPECT|","|"&amp;Master_Dataset!$AH50&amp;"|")),1,0)</f>
        <v>0</v>
      </c>
      <c r="P50" s="60" t="n">
        <f aca="false">IF(ISNUMBER(SEARCH("|DISTRUST_HYPOCRISY|","|"&amp;Master_Dataset!$AH50&amp;"|")),1,0)</f>
        <v>0</v>
      </c>
      <c r="Q50" s="60" t="n">
        <f aca="false">IF(ISNUMBER(SEARCH("|MORAL_ADVICE|","|"&amp;Master_Dataset!$AH50&amp;"|")),1,0)</f>
        <v>0</v>
      </c>
      <c r="R50" s="60" t="n">
        <f aca="false">IF(ISNUMBER(SEARCH("|HOPE_RESILIENCE|","|"&amp;Master_Dataset!$AH50&amp;"|")),1,0)</f>
        <v>0</v>
      </c>
      <c r="S50" s="60" t="n">
        <f aca="false">IF(ISNUMBER(SEARCH("|RELIGION_FATE|","|"&amp;Master_Dataset!$AH50&amp;"|")),1,0)</f>
        <v>1</v>
      </c>
      <c r="T50" s="60" t="n">
        <f aca="false">IF(ISNUMBER(SEARCH("|MORTALITY_RISK|","|"&amp;Master_Dataset!$AH50&amp;"|")),1,0)</f>
        <v>0</v>
      </c>
      <c r="U50" s="60" t="n">
        <f aca="false">IF(ISNUMBER(SEARCH("|INSTITUTION_CRITIQUE|","|"&amp;Master_Dataset!$AH50&amp;"|")),1,0)</f>
        <v>0</v>
      </c>
      <c r="V50" s="60" t="n">
        <f aca="false">IF(ISNUMBER(SEARCH("|PLACE_IDENTITY|","|"&amp;Master_Dataset!$AH50&amp;"|")),1,0)</f>
        <v>0</v>
      </c>
      <c r="W50" s="60" t="n">
        <f aca="false">IF(ISNUMBER(SEARCH("|HUMOR|","|"&amp;Master_Dataset!$AH50&amp;"|")),1,0)</f>
        <v>1</v>
      </c>
      <c r="X50" s="60" t="n">
        <f aca="false">IF(ISNUMBER(SEARCH("|CODE_MIXING_SLANG|","|"&amp;Master_Dataset!$AH50&amp;"|")),1,0)</f>
        <v>0</v>
      </c>
    </row>
    <row r="51" customFormat="false" ht="15" hidden="false" customHeight="true" outlineLevel="0" collapsed="false">
      <c r="A51" s="60" t="n">
        <f aca="false">Master_Dataset!A51</f>
        <v>50</v>
      </c>
      <c r="B51" s="60" t="n">
        <f aca="false">IF(ISNUMBER(SEARCH("|LOVE_ROMANCE|","|"&amp;Master_Dataset!$AH51&amp;"|")),1,0)</f>
        <v>1</v>
      </c>
      <c r="C51" s="60" t="n">
        <f aca="false">IF(ISNUMBER(SEARCH("|SEPARATION_LOSS|","|"&amp;Master_Dataset!$AH51&amp;"|")),1,0)</f>
        <v>0</v>
      </c>
      <c r="D51" s="60" t="n">
        <f aca="false">IF(ISNUMBER(SEARCH("|FAMILY|","|"&amp;Master_Dataset!$AH51&amp;"|")),1,0)</f>
        <v>0</v>
      </c>
      <c r="E51" s="60" t="n">
        <f aca="false">IF(ISNUMBER(SEARCH("|MONEY_MATERIALISM|","|"&amp;Master_Dataset!$AH51&amp;"|")),1,0)</f>
        <v>0</v>
      </c>
      <c r="F51" s="60" t="n">
        <f aca="false">IF(ISNUMBER(SEARCH("|CLASS_INEQUALITY_CRITIQUE|","|"&amp;Master_Dataset!$AH51&amp;"|")),1,0)</f>
        <v>0</v>
      </c>
      <c r="G51" s="60" t="n">
        <f aca="false">IF(ISNUMBER(SEARCH("|CONSUMER_STATUS|","|"&amp;Master_Dataset!$AH51&amp;"|")),1,0)</f>
        <v>0</v>
      </c>
      <c r="H51" s="60" t="n">
        <f aca="false">IF(ISNUMBER(SEARCH("|MIGRATION|","|"&amp;Master_Dataset!$AH51&amp;"|")),1,0)</f>
        <v>0</v>
      </c>
      <c r="I51" s="60" t="n">
        <f aca="false">IF(ISNUMBER(SEARCH("|EDUCATION|","|"&amp;Master_Dataset!$AH51&amp;"|")),1,0)</f>
        <v>0</v>
      </c>
      <c r="J51" s="60" t="n">
        <f aca="false">IF(ISNUMBER(SEARCH("|DRIVER_IDENTITY|","|"&amp;Master_Dataset!$AH51&amp;"|")),1,0)</f>
        <v>0</v>
      </c>
      <c r="K51" s="60" t="n">
        <f aca="false">IF(ISNUMBER(SEARCH("|LABOR_DIGNITY|","|"&amp;Master_Dataset!$AH51&amp;"|")),1,0)</f>
        <v>0</v>
      </c>
      <c r="L51" s="60" t="n">
        <f aca="false">IF(ISNUMBER(SEARCH("|FARE_LIVELIHOOD|","|"&amp;Master_Dataset!$AH51&amp;"|")),1,0)</f>
        <v>0</v>
      </c>
      <c r="M51" s="60" t="n">
        <f aca="false">IF(ISNUMBER(SEARCH("|MASCULINITY|","|"&amp;Master_Dataset!$AH51&amp;"|")),1,0)</f>
        <v>0</v>
      </c>
      <c r="N51" s="60" t="n">
        <f aca="false">IF(ISNUMBER(SEARCH("|WOMEN_REPRESENTATION|","|"&amp;Master_Dataset!$AH51&amp;"|")),1,0)</f>
        <v>0</v>
      </c>
      <c r="O51" s="60" t="n">
        <f aca="false">IF(ISNUMBER(SEARCH("|SELF_RESPECT|","|"&amp;Master_Dataset!$AH51&amp;"|")),1,0)</f>
        <v>1</v>
      </c>
      <c r="P51" s="60" t="n">
        <f aca="false">IF(ISNUMBER(SEARCH("|DISTRUST_HYPOCRISY|","|"&amp;Master_Dataset!$AH51&amp;"|")),1,0)</f>
        <v>0</v>
      </c>
      <c r="Q51" s="60" t="n">
        <f aca="false">IF(ISNUMBER(SEARCH("|MORAL_ADVICE|","|"&amp;Master_Dataset!$AH51&amp;"|")),1,0)</f>
        <v>1</v>
      </c>
      <c r="R51" s="60" t="n">
        <f aca="false">IF(ISNUMBER(SEARCH("|HOPE_RESILIENCE|","|"&amp;Master_Dataset!$AH51&amp;"|")),1,0)</f>
        <v>0</v>
      </c>
      <c r="S51" s="60" t="n">
        <f aca="false">IF(ISNUMBER(SEARCH("|RELIGION_FATE|","|"&amp;Master_Dataset!$AH51&amp;"|")),1,0)</f>
        <v>0</v>
      </c>
      <c r="T51" s="60" t="n">
        <f aca="false">IF(ISNUMBER(SEARCH("|MORTALITY_RISK|","|"&amp;Master_Dataset!$AH51&amp;"|")),1,0)</f>
        <v>0</v>
      </c>
      <c r="U51" s="60" t="n">
        <f aca="false">IF(ISNUMBER(SEARCH("|INSTITUTION_CRITIQUE|","|"&amp;Master_Dataset!$AH51&amp;"|")),1,0)</f>
        <v>0</v>
      </c>
      <c r="V51" s="60" t="n">
        <f aca="false">IF(ISNUMBER(SEARCH("|PLACE_IDENTITY|","|"&amp;Master_Dataset!$AH51&amp;"|")),1,0)</f>
        <v>0</v>
      </c>
      <c r="W51" s="60" t="n">
        <f aca="false">IF(ISNUMBER(SEARCH("|HUMOR|","|"&amp;Master_Dataset!$AH51&amp;"|")),1,0)</f>
        <v>0</v>
      </c>
      <c r="X51" s="60" t="n">
        <f aca="false">IF(ISNUMBER(SEARCH("|CODE_MIXING_SLANG|","|"&amp;Master_Dataset!$AH51&amp;"|")),1,0)</f>
        <v>0</v>
      </c>
    </row>
    <row r="52" customFormat="false" ht="15" hidden="false" customHeight="true" outlineLevel="0" collapsed="false">
      <c r="A52" s="60" t="n">
        <f aca="false">Master_Dataset!A52</f>
        <v>51</v>
      </c>
      <c r="B52" s="60" t="n">
        <f aca="false">IF(ISNUMBER(SEARCH("|LOVE_ROMANCE|","|"&amp;Master_Dataset!$AH52&amp;"|")),1,0)</f>
        <v>0</v>
      </c>
      <c r="C52" s="60" t="n">
        <f aca="false">IF(ISNUMBER(SEARCH("|SEPARATION_LOSS|","|"&amp;Master_Dataset!$AH52&amp;"|")),1,0)</f>
        <v>0</v>
      </c>
      <c r="D52" s="60" t="n">
        <f aca="false">IF(ISNUMBER(SEARCH("|FAMILY|","|"&amp;Master_Dataset!$AH52&amp;"|")),1,0)</f>
        <v>0</v>
      </c>
      <c r="E52" s="60" t="n">
        <f aca="false">IF(ISNUMBER(SEARCH("|MONEY_MATERIALISM|","|"&amp;Master_Dataset!$AH52&amp;"|")),1,0)</f>
        <v>1</v>
      </c>
      <c r="F52" s="60" t="n">
        <f aca="false">IF(ISNUMBER(SEARCH("|CLASS_INEQUALITY_CRITIQUE|","|"&amp;Master_Dataset!$AH52&amp;"|")),1,0)</f>
        <v>0</v>
      </c>
      <c r="G52" s="60" t="n">
        <f aca="false">IF(ISNUMBER(SEARCH("|CONSUMER_STATUS|","|"&amp;Master_Dataset!$AH52&amp;"|")),1,0)</f>
        <v>0</v>
      </c>
      <c r="H52" s="60" t="n">
        <f aca="false">IF(ISNUMBER(SEARCH("|MIGRATION|","|"&amp;Master_Dataset!$AH52&amp;"|")),1,0)</f>
        <v>0</v>
      </c>
      <c r="I52" s="60" t="n">
        <f aca="false">IF(ISNUMBER(SEARCH("|EDUCATION|","|"&amp;Master_Dataset!$AH52&amp;"|")),1,0)</f>
        <v>0</v>
      </c>
      <c r="J52" s="60" t="n">
        <f aca="false">IF(ISNUMBER(SEARCH("|DRIVER_IDENTITY|","|"&amp;Master_Dataset!$AH52&amp;"|")),1,0)</f>
        <v>0</v>
      </c>
      <c r="K52" s="60" t="n">
        <f aca="false">IF(ISNUMBER(SEARCH("|LABOR_DIGNITY|","|"&amp;Master_Dataset!$AH52&amp;"|")),1,0)</f>
        <v>0</v>
      </c>
      <c r="L52" s="60" t="n">
        <f aca="false">IF(ISNUMBER(SEARCH("|FARE_LIVELIHOOD|","|"&amp;Master_Dataset!$AH52&amp;"|")),1,0)</f>
        <v>0</v>
      </c>
      <c r="M52" s="60" t="n">
        <f aca="false">IF(ISNUMBER(SEARCH("|MASCULINITY|","|"&amp;Master_Dataset!$AH52&amp;"|")),1,0)</f>
        <v>1</v>
      </c>
      <c r="N52" s="60" t="n">
        <f aca="false">IF(ISNUMBER(SEARCH("|WOMEN_REPRESENTATION|","|"&amp;Master_Dataset!$AH52&amp;"|")),1,0)</f>
        <v>0</v>
      </c>
      <c r="O52" s="60" t="n">
        <f aca="false">IF(ISNUMBER(SEARCH("|SELF_RESPECT|","|"&amp;Master_Dataset!$AH52&amp;"|")),1,0)</f>
        <v>0</v>
      </c>
      <c r="P52" s="60" t="n">
        <f aca="false">IF(ISNUMBER(SEARCH("|DISTRUST_HYPOCRISY|","|"&amp;Master_Dataset!$AH52&amp;"|")),1,0)</f>
        <v>0</v>
      </c>
      <c r="Q52" s="60" t="n">
        <f aca="false">IF(ISNUMBER(SEARCH("|MORAL_ADVICE|","|"&amp;Master_Dataset!$AH52&amp;"|")),1,0)</f>
        <v>0</v>
      </c>
      <c r="R52" s="60" t="n">
        <f aca="false">IF(ISNUMBER(SEARCH("|HOPE_RESILIENCE|","|"&amp;Master_Dataset!$AH52&amp;"|")),1,0)</f>
        <v>0</v>
      </c>
      <c r="S52" s="60" t="n">
        <f aca="false">IF(ISNUMBER(SEARCH("|RELIGION_FATE|","|"&amp;Master_Dataset!$AH52&amp;"|")),1,0)</f>
        <v>0</v>
      </c>
      <c r="T52" s="60" t="n">
        <f aca="false">IF(ISNUMBER(SEARCH("|MORTALITY_RISK|","|"&amp;Master_Dataset!$AH52&amp;"|")),1,0)</f>
        <v>0</v>
      </c>
      <c r="U52" s="60" t="n">
        <f aca="false">IF(ISNUMBER(SEARCH("|INSTITUTION_CRITIQUE|","|"&amp;Master_Dataset!$AH52&amp;"|")),1,0)</f>
        <v>0</v>
      </c>
      <c r="V52" s="60" t="n">
        <f aca="false">IF(ISNUMBER(SEARCH("|PLACE_IDENTITY|","|"&amp;Master_Dataset!$AH52&amp;"|")),1,0)</f>
        <v>0</v>
      </c>
      <c r="W52" s="60" t="n">
        <f aca="false">IF(ISNUMBER(SEARCH("|HUMOR|","|"&amp;Master_Dataset!$AH52&amp;"|")),1,0)</f>
        <v>1</v>
      </c>
      <c r="X52" s="60" t="n">
        <f aca="false">IF(ISNUMBER(SEARCH("|CODE_MIXING_SLANG|","|"&amp;Master_Dataset!$AH52&amp;"|")),1,0)</f>
        <v>0</v>
      </c>
    </row>
    <row r="53" customFormat="false" ht="15" hidden="false" customHeight="true" outlineLevel="0" collapsed="false">
      <c r="A53" s="60" t="n">
        <f aca="false">Master_Dataset!A53</f>
        <v>52</v>
      </c>
      <c r="B53" s="60" t="n">
        <f aca="false">IF(ISNUMBER(SEARCH("|LOVE_ROMANCE|","|"&amp;Master_Dataset!$AH53&amp;"|")),1,0)</f>
        <v>0</v>
      </c>
      <c r="C53" s="60" t="n">
        <f aca="false">IF(ISNUMBER(SEARCH("|SEPARATION_LOSS|","|"&amp;Master_Dataset!$AH53&amp;"|")),1,0)</f>
        <v>0</v>
      </c>
      <c r="D53" s="60" t="n">
        <f aca="false">IF(ISNUMBER(SEARCH("|FAMILY|","|"&amp;Master_Dataset!$AH53&amp;"|")),1,0)</f>
        <v>1</v>
      </c>
      <c r="E53" s="60" t="n">
        <f aca="false">IF(ISNUMBER(SEARCH("|MONEY_MATERIALISM|","|"&amp;Master_Dataset!$AH53&amp;"|")),1,0)</f>
        <v>0</v>
      </c>
      <c r="F53" s="60" t="n">
        <f aca="false">IF(ISNUMBER(SEARCH("|CLASS_INEQUALITY_CRITIQUE|","|"&amp;Master_Dataset!$AH53&amp;"|")),1,0)</f>
        <v>0</v>
      </c>
      <c r="G53" s="60" t="n">
        <f aca="false">IF(ISNUMBER(SEARCH("|CONSUMER_STATUS|","|"&amp;Master_Dataset!$AH53&amp;"|")),1,0)</f>
        <v>0</v>
      </c>
      <c r="H53" s="60" t="n">
        <f aca="false">IF(ISNUMBER(SEARCH("|MIGRATION|","|"&amp;Master_Dataset!$AH53&amp;"|")),1,0)</f>
        <v>0</v>
      </c>
      <c r="I53" s="60" t="n">
        <f aca="false">IF(ISNUMBER(SEARCH("|EDUCATION|","|"&amp;Master_Dataset!$AH53&amp;"|")),1,0)</f>
        <v>0</v>
      </c>
      <c r="J53" s="60" t="n">
        <f aca="false">IF(ISNUMBER(SEARCH("|DRIVER_IDENTITY|","|"&amp;Master_Dataset!$AH53&amp;"|")),1,0)</f>
        <v>0</v>
      </c>
      <c r="K53" s="60" t="n">
        <f aca="false">IF(ISNUMBER(SEARCH("|LABOR_DIGNITY|","|"&amp;Master_Dataset!$AH53&amp;"|")),1,0)</f>
        <v>0</v>
      </c>
      <c r="L53" s="60" t="n">
        <f aca="false">IF(ISNUMBER(SEARCH("|FARE_LIVELIHOOD|","|"&amp;Master_Dataset!$AH53&amp;"|")),1,0)</f>
        <v>0</v>
      </c>
      <c r="M53" s="60" t="n">
        <f aca="false">IF(ISNUMBER(SEARCH("|MASCULINITY|","|"&amp;Master_Dataset!$AH53&amp;"|")),1,0)</f>
        <v>1</v>
      </c>
      <c r="N53" s="60" t="n">
        <f aca="false">IF(ISNUMBER(SEARCH("|WOMEN_REPRESENTATION|","|"&amp;Master_Dataset!$AH53&amp;"|")),1,0)</f>
        <v>0</v>
      </c>
      <c r="O53" s="60" t="n">
        <f aca="false">IF(ISNUMBER(SEARCH("|SELF_RESPECT|","|"&amp;Master_Dataset!$AH53&amp;"|")),1,0)</f>
        <v>0</v>
      </c>
      <c r="P53" s="60" t="n">
        <f aca="false">IF(ISNUMBER(SEARCH("|DISTRUST_HYPOCRISY|","|"&amp;Master_Dataset!$AH53&amp;"|")),1,0)</f>
        <v>0</v>
      </c>
      <c r="Q53" s="60" t="n">
        <f aca="false">IF(ISNUMBER(SEARCH("|MORAL_ADVICE|","|"&amp;Master_Dataset!$AH53&amp;"|")),1,0)</f>
        <v>0</v>
      </c>
      <c r="R53" s="60" t="n">
        <f aca="false">IF(ISNUMBER(SEARCH("|HOPE_RESILIENCE|","|"&amp;Master_Dataset!$AH53&amp;"|")),1,0)</f>
        <v>0</v>
      </c>
      <c r="S53" s="60" t="n">
        <f aca="false">IF(ISNUMBER(SEARCH("|RELIGION_FATE|","|"&amp;Master_Dataset!$AH53&amp;"|")),1,0)</f>
        <v>0</v>
      </c>
      <c r="T53" s="60" t="n">
        <f aca="false">IF(ISNUMBER(SEARCH("|MORTALITY_RISK|","|"&amp;Master_Dataset!$AH53&amp;"|")),1,0)</f>
        <v>0</v>
      </c>
      <c r="U53" s="60" t="n">
        <f aca="false">IF(ISNUMBER(SEARCH("|INSTITUTION_CRITIQUE|","|"&amp;Master_Dataset!$AH53&amp;"|")),1,0)</f>
        <v>0</v>
      </c>
      <c r="V53" s="60" t="n">
        <f aca="false">IF(ISNUMBER(SEARCH("|PLACE_IDENTITY|","|"&amp;Master_Dataset!$AH53&amp;"|")),1,0)</f>
        <v>0</v>
      </c>
      <c r="W53" s="60" t="n">
        <f aca="false">IF(ISNUMBER(SEARCH("|HUMOR|","|"&amp;Master_Dataset!$AH53&amp;"|")),1,0)</f>
        <v>0</v>
      </c>
      <c r="X53" s="60" t="n">
        <f aca="false">IF(ISNUMBER(SEARCH("|CODE_MIXING_SLANG|","|"&amp;Master_Dataset!$AH53&amp;"|")),1,0)</f>
        <v>0</v>
      </c>
    </row>
    <row r="54" customFormat="false" ht="15" hidden="false" customHeight="true" outlineLevel="0" collapsed="false">
      <c r="A54" s="60" t="n">
        <f aca="false">Master_Dataset!A54</f>
        <v>53</v>
      </c>
      <c r="B54" s="60" t="n">
        <f aca="false">IF(ISNUMBER(SEARCH("|LOVE_ROMANCE|","|"&amp;Master_Dataset!$AH54&amp;"|")),1,0)</f>
        <v>0</v>
      </c>
      <c r="C54" s="60" t="n">
        <f aca="false">IF(ISNUMBER(SEARCH("|SEPARATION_LOSS|","|"&amp;Master_Dataset!$AH54&amp;"|")),1,0)</f>
        <v>0</v>
      </c>
      <c r="D54" s="60" t="n">
        <f aca="false">IF(ISNUMBER(SEARCH("|FAMILY|","|"&amp;Master_Dataset!$AH54&amp;"|")),1,0)</f>
        <v>0</v>
      </c>
      <c r="E54" s="60" t="n">
        <f aca="false">IF(ISNUMBER(SEARCH("|MONEY_MATERIALISM|","|"&amp;Master_Dataset!$AH54&amp;"|")),1,0)</f>
        <v>0</v>
      </c>
      <c r="F54" s="60" t="n">
        <f aca="false">IF(ISNUMBER(SEARCH("|CLASS_INEQUALITY_CRITIQUE|","|"&amp;Master_Dataset!$AH54&amp;"|")),1,0)</f>
        <v>0</v>
      </c>
      <c r="G54" s="60" t="n">
        <f aca="false">IF(ISNUMBER(SEARCH("|CONSUMER_STATUS|","|"&amp;Master_Dataset!$AH54&amp;"|")),1,0)</f>
        <v>0</v>
      </c>
      <c r="H54" s="60" t="n">
        <f aca="false">IF(ISNUMBER(SEARCH("|MIGRATION|","|"&amp;Master_Dataset!$AH54&amp;"|")),1,0)</f>
        <v>0</v>
      </c>
      <c r="I54" s="60" t="n">
        <f aca="false">IF(ISNUMBER(SEARCH("|EDUCATION|","|"&amp;Master_Dataset!$AH54&amp;"|")),1,0)</f>
        <v>0</v>
      </c>
      <c r="J54" s="60" t="n">
        <f aca="false">IF(ISNUMBER(SEARCH("|DRIVER_IDENTITY|","|"&amp;Master_Dataset!$AH54&amp;"|")),1,0)</f>
        <v>0</v>
      </c>
      <c r="K54" s="60" t="n">
        <f aca="false">IF(ISNUMBER(SEARCH("|LABOR_DIGNITY|","|"&amp;Master_Dataset!$AH54&amp;"|")),1,0)</f>
        <v>0</v>
      </c>
      <c r="L54" s="60" t="n">
        <f aca="false">IF(ISNUMBER(SEARCH("|FARE_LIVELIHOOD|","|"&amp;Master_Dataset!$AH54&amp;"|")),1,0)</f>
        <v>0</v>
      </c>
      <c r="M54" s="60" t="n">
        <f aca="false">IF(ISNUMBER(SEARCH("|MASCULINITY|","|"&amp;Master_Dataset!$AH54&amp;"|")),1,0)</f>
        <v>0</v>
      </c>
      <c r="N54" s="60" t="n">
        <f aca="false">IF(ISNUMBER(SEARCH("|WOMEN_REPRESENTATION|","|"&amp;Master_Dataset!$AH54&amp;"|")),1,0)</f>
        <v>0</v>
      </c>
      <c r="O54" s="60" t="n">
        <f aca="false">IF(ISNUMBER(SEARCH("|SELF_RESPECT|","|"&amp;Master_Dataset!$AH54&amp;"|")),1,0)</f>
        <v>0</v>
      </c>
      <c r="P54" s="60" t="n">
        <f aca="false">IF(ISNUMBER(SEARCH("|DISTRUST_HYPOCRISY|","|"&amp;Master_Dataset!$AH54&amp;"|")),1,0)</f>
        <v>0</v>
      </c>
      <c r="Q54" s="60" t="n">
        <f aca="false">IF(ISNUMBER(SEARCH("|MORAL_ADVICE|","|"&amp;Master_Dataset!$AH54&amp;"|")),1,0)</f>
        <v>0</v>
      </c>
      <c r="R54" s="60" t="n">
        <f aca="false">IF(ISNUMBER(SEARCH("|HOPE_RESILIENCE|","|"&amp;Master_Dataset!$AH54&amp;"|")),1,0)</f>
        <v>1</v>
      </c>
      <c r="S54" s="60" t="n">
        <f aca="false">IF(ISNUMBER(SEARCH("|RELIGION_FATE|","|"&amp;Master_Dataset!$AH54&amp;"|")),1,0)</f>
        <v>1</v>
      </c>
      <c r="T54" s="60" t="n">
        <f aca="false">IF(ISNUMBER(SEARCH("|MORTALITY_RISK|","|"&amp;Master_Dataset!$AH54&amp;"|")),1,0)</f>
        <v>1</v>
      </c>
      <c r="U54" s="60" t="n">
        <f aca="false">IF(ISNUMBER(SEARCH("|INSTITUTION_CRITIQUE|","|"&amp;Master_Dataset!$AH54&amp;"|")),1,0)</f>
        <v>0</v>
      </c>
      <c r="V54" s="60" t="n">
        <f aca="false">IF(ISNUMBER(SEARCH("|PLACE_IDENTITY|","|"&amp;Master_Dataset!$AH54&amp;"|")),1,0)</f>
        <v>0</v>
      </c>
      <c r="W54" s="60" t="n">
        <f aca="false">IF(ISNUMBER(SEARCH("|HUMOR|","|"&amp;Master_Dataset!$AH54&amp;"|")),1,0)</f>
        <v>0</v>
      </c>
      <c r="X54" s="60" t="n">
        <f aca="false">IF(ISNUMBER(SEARCH("|CODE_MIXING_SLANG|","|"&amp;Master_Dataset!$AH54&amp;"|")),1,0)</f>
        <v>0</v>
      </c>
    </row>
    <row r="55" customFormat="false" ht="15" hidden="false" customHeight="true" outlineLevel="0" collapsed="false">
      <c r="A55" s="60" t="n">
        <f aca="false">Master_Dataset!A55</f>
        <v>54</v>
      </c>
      <c r="B55" s="60" t="n">
        <f aca="false">IF(ISNUMBER(SEARCH("|LOVE_ROMANCE|","|"&amp;Master_Dataset!$AH55&amp;"|")),1,0)</f>
        <v>0</v>
      </c>
      <c r="C55" s="60" t="n">
        <f aca="false">IF(ISNUMBER(SEARCH("|SEPARATION_LOSS|","|"&amp;Master_Dataset!$AH55&amp;"|")),1,0)</f>
        <v>0</v>
      </c>
      <c r="D55" s="60" t="n">
        <f aca="false">IF(ISNUMBER(SEARCH("|FAMILY|","|"&amp;Master_Dataset!$AH55&amp;"|")),1,0)</f>
        <v>0</v>
      </c>
      <c r="E55" s="60" t="n">
        <f aca="false">IF(ISNUMBER(SEARCH("|MONEY_MATERIALISM|","|"&amp;Master_Dataset!$AH55&amp;"|")),1,0)</f>
        <v>0</v>
      </c>
      <c r="F55" s="60" t="n">
        <f aca="false">IF(ISNUMBER(SEARCH("|CLASS_INEQUALITY_CRITIQUE|","|"&amp;Master_Dataset!$AH55&amp;"|")),1,0)</f>
        <v>0</v>
      </c>
      <c r="G55" s="60" t="n">
        <f aca="false">IF(ISNUMBER(SEARCH("|CONSUMER_STATUS|","|"&amp;Master_Dataset!$AH55&amp;"|")),1,0)</f>
        <v>0</v>
      </c>
      <c r="H55" s="60" t="n">
        <f aca="false">IF(ISNUMBER(SEARCH("|MIGRATION|","|"&amp;Master_Dataset!$AH55&amp;"|")),1,0)</f>
        <v>1</v>
      </c>
      <c r="I55" s="60" t="n">
        <f aca="false">IF(ISNUMBER(SEARCH("|EDUCATION|","|"&amp;Master_Dataset!$AH55&amp;"|")),1,0)</f>
        <v>1</v>
      </c>
      <c r="J55" s="60" t="n">
        <f aca="false">IF(ISNUMBER(SEARCH("|DRIVER_IDENTITY|","|"&amp;Master_Dataset!$AH55&amp;"|")),1,0)</f>
        <v>0</v>
      </c>
      <c r="K55" s="60" t="n">
        <f aca="false">IF(ISNUMBER(SEARCH("|LABOR_DIGNITY|","|"&amp;Master_Dataset!$AH55&amp;"|")),1,0)</f>
        <v>0</v>
      </c>
      <c r="L55" s="60" t="n">
        <f aca="false">IF(ISNUMBER(SEARCH("|FARE_LIVELIHOOD|","|"&amp;Master_Dataset!$AH55&amp;"|")),1,0)</f>
        <v>0</v>
      </c>
      <c r="M55" s="60" t="n">
        <f aca="false">IF(ISNUMBER(SEARCH("|MASCULINITY|","|"&amp;Master_Dataset!$AH55&amp;"|")),1,0)</f>
        <v>0</v>
      </c>
      <c r="N55" s="60" t="n">
        <f aca="false">IF(ISNUMBER(SEARCH("|WOMEN_REPRESENTATION|","|"&amp;Master_Dataset!$AH55&amp;"|")),1,0)</f>
        <v>0</v>
      </c>
      <c r="O55" s="60" t="n">
        <f aca="false">IF(ISNUMBER(SEARCH("|SELF_RESPECT|","|"&amp;Master_Dataset!$AH55&amp;"|")),1,0)</f>
        <v>0</v>
      </c>
      <c r="P55" s="60" t="n">
        <f aca="false">IF(ISNUMBER(SEARCH("|DISTRUST_HYPOCRISY|","|"&amp;Master_Dataset!$AH55&amp;"|")),1,0)</f>
        <v>0</v>
      </c>
      <c r="Q55" s="60" t="n">
        <f aca="false">IF(ISNUMBER(SEARCH("|MORAL_ADVICE|","|"&amp;Master_Dataset!$AH55&amp;"|")),1,0)</f>
        <v>0</v>
      </c>
      <c r="R55" s="60" t="n">
        <f aca="false">IF(ISNUMBER(SEARCH("|HOPE_RESILIENCE|","|"&amp;Master_Dataset!$AH55&amp;"|")),1,0)</f>
        <v>0</v>
      </c>
      <c r="S55" s="60" t="n">
        <f aca="false">IF(ISNUMBER(SEARCH("|RELIGION_FATE|","|"&amp;Master_Dataset!$AH55&amp;"|")),1,0)</f>
        <v>0</v>
      </c>
      <c r="T55" s="60" t="n">
        <f aca="false">IF(ISNUMBER(SEARCH("|MORTALITY_RISK|","|"&amp;Master_Dataset!$AH55&amp;"|")),1,0)</f>
        <v>0</v>
      </c>
      <c r="U55" s="60" t="n">
        <f aca="false">IF(ISNUMBER(SEARCH("|INSTITUTION_CRITIQUE|","|"&amp;Master_Dataset!$AH55&amp;"|")),1,0)</f>
        <v>0</v>
      </c>
      <c r="V55" s="60" t="n">
        <f aca="false">IF(ISNUMBER(SEARCH("|PLACE_IDENTITY|","|"&amp;Master_Dataset!$AH55&amp;"|")),1,0)</f>
        <v>0</v>
      </c>
      <c r="W55" s="60" t="n">
        <f aca="false">IF(ISNUMBER(SEARCH("|HUMOR|","|"&amp;Master_Dataset!$AH55&amp;"|")),1,0)</f>
        <v>1</v>
      </c>
      <c r="X55" s="60" t="n">
        <f aca="false">IF(ISNUMBER(SEARCH("|CODE_MIXING_SLANG|","|"&amp;Master_Dataset!$AH55&amp;"|")),1,0)</f>
        <v>0</v>
      </c>
    </row>
    <row r="56" customFormat="false" ht="15" hidden="false" customHeight="true" outlineLevel="0" collapsed="false">
      <c r="A56" s="60" t="n">
        <f aca="false">Master_Dataset!A56</f>
        <v>55</v>
      </c>
      <c r="B56" s="60" t="n">
        <f aca="false">IF(ISNUMBER(SEARCH("|LOVE_ROMANCE|","|"&amp;Master_Dataset!$AH56&amp;"|")),1,0)</f>
        <v>0</v>
      </c>
      <c r="C56" s="60" t="n">
        <f aca="false">IF(ISNUMBER(SEARCH("|SEPARATION_LOSS|","|"&amp;Master_Dataset!$AH56&amp;"|")),1,0)</f>
        <v>0</v>
      </c>
      <c r="D56" s="60" t="n">
        <f aca="false">IF(ISNUMBER(SEARCH("|FAMILY|","|"&amp;Master_Dataset!$AH56&amp;"|")),1,0)</f>
        <v>0</v>
      </c>
      <c r="E56" s="60" t="n">
        <f aca="false">IF(ISNUMBER(SEARCH("|MONEY_MATERIALISM|","|"&amp;Master_Dataset!$AH56&amp;"|")),1,0)</f>
        <v>0</v>
      </c>
      <c r="F56" s="60" t="n">
        <f aca="false">IF(ISNUMBER(SEARCH("|CLASS_INEQUALITY_CRITIQUE|","|"&amp;Master_Dataset!$AH56&amp;"|")),1,0)</f>
        <v>1</v>
      </c>
      <c r="G56" s="60" t="n">
        <f aca="false">IF(ISNUMBER(SEARCH("|CONSUMER_STATUS|","|"&amp;Master_Dataset!$AH56&amp;"|")),1,0)</f>
        <v>0</v>
      </c>
      <c r="H56" s="60" t="n">
        <f aca="false">IF(ISNUMBER(SEARCH("|MIGRATION|","|"&amp;Master_Dataset!$AH56&amp;"|")),1,0)</f>
        <v>0</v>
      </c>
      <c r="I56" s="60" t="n">
        <f aca="false">IF(ISNUMBER(SEARCH("|EDUCATION|","|"&amp;Master_Dataset!$AH56&amp;"|")),1,0)</f>
        <v>0</v>
      </c>
      <c r="J56" s="60" t="n">
        <f aca="false">IF(ISNUMBER(SEARCH("|DRIVER_IDENTITY|","|"&amp;Master_Dataset!$AH56&amp;"|")),1,0)</f>
        <v>0</v>
      </c>
      <c r="K56" s="60" t="n">
        <f aca="false">IF(ISNUMBER(SEARCH("|LABOR_DIGNITY|","|"&amp;Master_Dataset!$AH56&amp;"|")),1,0)</f>
        <v>0</v>
      </c>
      <c r="L56" s="60" t="n">
        <f aca="false">IF(ISNUMBER(SEARCH("|FARE_LIVELIHOOD|","|"&amp;Master_Dataset!$AH56&amp;"|")),1,0)</f>
        <v>0</v>
      </c>
      <c r="M56" s="60" t="n">
        <f aca="false">IF(ISNUMBER(SEARCH("|MASCULINITY|","|"&amp;Master_Dataset!$AH56&amp;"|")),1,0)</f>
        <v>0</v>
      </c>
      <c r="N56" s="60" t="n">
        <f aca="false">IF(ISNUMBER(SEARCH("|WOMEN_REPRESENTATION|","|"&amp;Master_Dataset!$AH56&amp;"|")),1,0)</f>
        <v>0</v>
      </c>
      <c r="O56" s="60" t="n">
        <f aca="false">IF(ISNUMBER(SEARCH("|SELF_RESPECT|","|"&amp;Master_Dataset!$AH56&amp;"|")),1,0)</f>
        <v>0</v>
      </c>
      <c r="P56" s="60" t="n">
        <f aca="false">IF(ISNUMBER(SEARCH("|DISTRUST_HYPOCRISY|","|"&amp;Master_Dataset!$AH56&amp;"|")),1,0)</f>
        <v>0</v>
      </c>
      <c r="Q56" s="60" t="n">
        <f aca="false">IF(ISNUMBER(SEARCH("|MORAL_ADVICE|","|"&amp;Master_Dataset!$AH56&amp;"|")),1,0)</f>
        <v>0</v>
      </c>
      <c r="R56" s="60" t="n">
        <f aca="false">IF(ISNUMBER(SEARCH("|HOPE_RESILIENCE|","|"&amp;Master_Dataset!$AH56&amp;"|")),1,0)</f>
        <v>0</v>
      </c>
      <c r="S56" s="60" t="n">
        <f aca="false">IF(ISNUMBER(SEARCH("|RELIGION_FATE|","|"&amp;Master_Dataset!$AH56&amp;"|")),1,0)</f>
        <v>0</v>
      </c>
      <c r="T56" s="60" t="n">
        <f aca="false">IF(ISNUMBER(SEARCH("|MORTALITY_RISK|","|"&amp;Master_Dataset!$AH56&amp;"|")),1,0)</f>
        <v>0</v>
      </c>
      <c r="U56" s="60" t="n">
        <f aca="false">IF(ISNUMBER(SEARCH("|INSTITUTION_CRITIQUE|","|"&amp;Master_Dataset!$AH56&amp;"|")),1,0)</f>
        <v>1</v>
      </c>
      <c r="V56" s="60" t="n">
        <f aca="false">IF(ISNUMBER(SEARCH("|PLACE_IDENTITY|","|"&amp;Master_Dataset!$AH56&amp;"|")),1,0)</f>
        <v>0</v>
      </c>
      <c r="W56" s="60" t="n">
        <f aca="false">IF(ISNUMBER(SEARCH("|HUMOR|","|"&amp;Master_Dataset!$AH56&amp;"|")),1,0)</f>
        <v>1</v>
      </c>
      <c r="X56" s="60" t="n">
        <f aca="false">IF(ISNUMBER(SEARCH("|CODE_MIXING_SLANG|","|"&amp;Master_Dataset!$AH56&amp;"|")),1,0)</f>
        <v>0</v>
      </c>
    </row>
    <row r="57" customFormat="false" ht="15" hidden="false" customHeight="true" outlineLevel="0" collapsed="false">
      <c r="A57" s="60" t="n">
        <f aca="false">Master_Dataset!A57</f>
        <v>56</v>
      </c>
      <c r="B57" s="60" t="n">
        <f aca="false">IF(ISNUMBER(SEARCH("|LOVE_ROMANCE|","|"&amp;Master_Dataset!$AH57&amp;"|")),1,0)</f>
        <v>0</v>
      </c>
      <c r="C57" s="60" t="n">
        <f aca="false">IF(ISNUMBER(SEARCH("|SEPARATION_LOSS|","|"&amp;Master_Dataset!$AH57&amp;"|")),1,0)</f>
        <v>0</v>
      </c>
      <c r="D57" s="60" t="n">
        <f aca="false">IF(ISNUMBER(SEARCH("|FAMILY|","|"&amp;Master_Dataset!$AH57&amp;"|")),1,0)</f>
        <v>0</v>
      </c>
      <c r="E57" s="60" t="n">
        <f aca="false">IF(ISNUMBER(SEARCH("|MONEY_MATERIALISM|","|"&amp;Master_Dataset!$AH57&amp;"|")),1,0)</f>
        <v>0</v>
      </c>
      <c r="F57" s="60" t="n">
        <f aca="false">IF(ISNUMBER(SEARCH("|CLASS_INEQUALITY_CRITIQUE|","|"&amp;Master_Dataset!$AH57&amp;"|")),1,0)</f>
        <v>0</v>
      </c>
      <c r="G57" s="60" t="n">
        <f aca="false">IF(ISNUMBER(SEARCH("|CONSUMER_STATUS|","|"&amp;Master_Dataset!$AH57&amp;"|")),1,0)</f>
        <v>0</v>
      </c>
      <c r="H57" s="60" t="n">
        <f aca="false">IF(ISNUMBER(SEARCH("|MIGRATION|","|"&amp;Master_Dataset!$AH57&amp;"|")),1,0)</f>
        <v>0</v>
      </c>
      <c r="I57" s="60" t="n">
        <f aca="false">IF(ISNUMBER(SEARCH("|EDUCATION|","|"&amp;Master_Dataset!$AH57&amp;"|")),1,0)</f>
        <v>0</v>
      </c>
      <c r="J57" s="60" t="n">
        <f aca="false">IF(ISNUMBER(SEARCH("|DRIVER_IDENTITY|","|"&amp;Master_Dataset!$AH57&amp;"|")),1,0)</f>
        <v>0</v>
      </c>
      <c r="K57" s="60" t="n">
        <f aca="false">IF(ISNUMBER(SEARCH("|LABOR_DIGNITY|","|"&amp;Master_Dataset!$AH57&amp;"|")),1,0)</f>
        <v>0</v>
      </c>
      <c r="L57" s="60" t="n">
        <f aca="false">IF(ISNUMBER(SEARCH("|FARE_LIVELIHOOD|","|"&amp;Master_Dataset!$AH57&amp;"|")),1,0)</f>
        <v>0</v>
      </c>
      <c r="M57" s="60" t="n">
        <f aca="false">IF(ISNUMBER(SEARCH("|MASCULINITY|","|"&amp;Master_Dataset!$AH57&amp;"|")),1,0)</f>
        <v>0</v>
      </c>
      <c r="N57" s="60" t="n">
        <f aca="false">IF(ISNUMBER(SEARCH("|WOMEN_REPRESENTATION|","|"&amp;Master_Dataset!$AH57&amp;"|")),1,0)</f>
        <v>0</v>
      </c>
      <c r="O57" s="60" t="n">
        <f aca="false">IF(ISNUMBER(SEARCH("|SELF_RESPECT|","|"&amp;Master_Dataset!$AH57&amp;"|")),1,0)</f>
        <v>0</v>
      </c>
      <c r="P57" s="60" t="n">
        <f aca="false">IF(ISNUMBER(SEARCH("|DISTRUST_HYPOCRISY|","|"&amp;Master_Dataset!$AH57&amp;"|")),1,0)</f>
        <v>0</v>
      </c>
      <c r="Q57" s="60" t="n">
        <f aca="false">IF(ISNUMBER(SEARCH("|MORAL_ADVICE|","|"&amp;Master_Dataset!$AH57&amp;"|")),1,0)</f>
        <v>0</v>
      </c>
      <c r="R57" s="60" t="n">
        <f aca="false">IF(ISNUMBER(SEARCH("|HOPE_RESILIENCE|","|"&amp;Master_Dataset!$AH57&amp;"|")),1,0)</f>
        <v>0</v>
      </c>
      <c r="S57" s="60" t="n">
        <f aca="false">IF(ISNUMBER(SEARCH("|RELIGION_FATE|","|"&amp;Master_Dataset!$AH57&amp;"|")),1,0)</f>
        <v>0</v>
      </c>
      <c r="T57" s="60" t="n">
        <f aca="false">IF(ISNUMBER(SEARCH("|MORTALITY_RISK|","|"&amp;Master_Dataset!$AH57&amp;"|")),1,0)</f>
        <v>0</v>
      </c>
      <c r="U57" s="60" t="n">
        <f aca="false">IF(ISNUMBER(SEARCH("|INSTITUTION_CRITIQUE|","|"&amp;Master_Dataset!$AH57&amp;"|")),1,0)</f>
        <v>1</v>
      </c>
      <c r="V57" s="60" t="n">
        <f aca="false">IF(ISNUMBER(SEARCH("|PLACE_IDENTITY|","|"&amp;Master_Dataset!$AH57&amp;"|")),1,0)</f>
        <v>1</v>
      </c>
      <c r="W57" s="60" t="n">
        <f aca="false">IF(ISNUMBER(SEARCH("|HUMOR|","|"&amp;Master_Dataset!$AH57&amp;"|")),1,0)</f>
        <v>1</v>
      </c>
      <c r="X57" s="60" t="n">
        <f aca="false">IF(ISNUMBER(SEARCH("|CODE_MIXING_SLANG|","|"&amp;Master_Dataset!$AH57&amp;"|")),1,0)</f>
        <v>0</v>
      </c>
    </row>
    <row r="58" customFormat="false" ht="15" hidden="false" customHeight="true" outlineLevel="0" collapsed="false">
      <c r="A58" s="60" t="n">
        <f aca="false">Master_Dataset!A58</f>
        <v>57</v>
      </c>
      <c r="B58" s="60" t="n">
        <f aca="false">IF(ISNUMBER(SEARCH("|LOVE_ROMANCE|","|"&amp;Master_Dataset!$AH58&amp;"|")),1,0)</f>
        <v>0</v>
      </c>
      <c r="C58" s="60" t="n">
        <f aca="false">IF(ISNUMBER(SEARCH("|SEPARATION_LOSS|","|"&amp;Master_Dataset!$AH58&amp;"|")),1,0)</f>
        <v>0</v>
      </c>
      <c r="D58" s="60" t="n">
        <f aca="false">IF(ISNUMBER(SEARCH("|FAMILY|","|"&amp;Master_Dataset!$AH58&amp;"|")),1,0)</f>
        <v>0</v>
      </c>
      <c r="E58" s="60" t="n">
        <f aca="false">IF(ISNUMBER(SEARCH("|MONEY_MATERIALISM|","|"&amp;Master_Dataset!$AH58&amp;"|")),1,0)</f>
        <v>0</v>
      </c>
      <c r="F58" s="60" t="n">
        <f aca="false">IF(ISNUMBER(SEARCH("|CLASS_INEQUALITY_CRITIQUE|","|"&amp;Master_Dataset!$AH58&amp;"|")),1,0)</f>
        <v>0</v>
      </c>
      <c r="G58" s="60" t="n">
        <f aca="false">IF(ISNUMBER(SEARCH("|CONSUMER_STATUS|","|"&amp;Master_Dataset!$AH58&amp;"|")),1,0)</f>
        <v>0</v>
      </c>
      <c r="H58" s="60" t="n">
        <f aca="false">IF(ISNUMBER(SEARCH("|MIGRATION|","|"&amp;Master_Dataset!$AH58&amp;"|")),1,0)</f>
        <v>0</v>
      </c>
      <c r="I58" s="60" t="n">
        <f aca="false">IF(ISNUMBER(SEARCH("|EDUCATION|","|"&amp;Master_Dataset!$AH58&amp;"|")),1,0)</f>
        <v>0</v>
      </c>
      <c r="J58" s="60" t="n">
        <f aca="false">IF(ISNUMBER(SEARCH("|DRIVER_IDENTITY|","|"&amp;Master_Dataset!$AH58&amp;"|")),1,0)</f>
        <v>0</v>
      </c>
      <c r="K58" s="60" t="n">
        <f aca="false">IF(ISNUMBER(SEARCH("|LABOR_DIGNITY|","|"&amp;Master_Dataset!$AH58&amp;"|")),1,0)</f>
        <v>0</v>
      </c>
      <c r="L58" s="60" t="n">
        <f aca="false">IF(ISNUMBER(SEARCH("|FARE_LIVELIHOOD|","|"&amp;Master_Dataset!$AH58&amp;"|")),1,0)</f>
        <v>0</v>
      </c>
      <c r="M58" s="60" t="n">
        <f aca="false">IF(ISNUMBER(SEARCH("|MASCULINITY|","|"&amp;Master_Dataset!$AH58&amp;"|")),1,0)</f>
        <v>0</v>
      </c>
      <c r="N58" s="60" t="n">
        <f aca="false">IF(ISNUMBER(SEARCH("|WOMEN_REPRESENTATION|","|"&amp;Master_Dataset!$AH58&amp;"|")),1,0)</f>
        <v>0</v>
      </c>
      <c r="O58" s="60" t="n">
        <f aca="false">IF(ISNUMBER(SEARCH("|SELF_RESPECT|","|"&amp;Master_Dataset!$AH58&amp;"|")),1,0)</f>
        <v>0</v>
      </c>
      <c r="P58" s="60" t="n">
        <f aca="false">IF(ISNUMBER(SEARCH("|DISTRUST_HYPOCRISY|","|"&amp;Master_Dataset!$AH58&amp;"|")),1,0)</f>
        <v>0</v>
      </c>
      <c r="Q58" s="60" t="n">
        <f aca="false">IF(ISNUMBER(SEARCH("|MORAL_ADVICE|","|"&amp;Master_Dataset!$AH58&amp;"|")),1,0)</f>
        <v>0</v>
      </c>
      <c r="R58" s="60" t="n">
        <f aca="false">IF(ISNUMBER(SEARCH("|HOPE_RESILIENCE|","|"&amp;Master_Dataset!$AH58&amp;"|")),1,0)</f>
        <v>0</v>
      </c>
      <c r="S58" s="60" t="n">
        <f aca="false">IF(ISNUMBER(SEARCH("|RELIGION_FATE|","|"&amp;Master_Dataset!$AH58&amp;"|")),1,0)</f>
        <v>0</v>
      </c>
      <c r="T58" s="60" t="n">
        <f aca="false">IF(ISNUMBER(SEARCH("|MORTALITY_RISK|","|"&amp;Master_Dataset!$AH58&amp;"|")),1,0)</f>
        <v>0</v>
      </c>
      <c r="U58" s="60" t="n">
        <f aca="false">IF(ISNUMBER(SEARCH("|INSTITUTION_CRITIQUE|","|"&amp;Master_Dataset!$AH58&amp;"|")),1,0)</f>
        <v>1</v>
      </c>
      <c r="V58" s="60" t="n">
        <f aca="false">IF(ISNUMBER(SEARCH("|PLACE_IDENTITY|","|"&amp;Master_Dataset!$AH58&amp;"|")),1,0)</f>
        <v>0</v>
      </c>
      <c r="W58" s="60" t="n">
        <f aca="false">IF(ISNUMBER(SEARCH("|HUMOR|","|"&amp;Master_Dataset!$AH58&amp;"|")),1,0)</f>
        <v>0</v>
      </c>
      <c r="X58" s="60" t="n">
        <f aca="false">IF(ISNUMBER(SEARCH("|CODE_MIXING_SLANG|","|"&amp;Master_Dataset!$AH58&amp;"|")),1,0)</f>
        <v>0</v>
      </c>
    </row>
    <row r="59" customFormat="false" ht="15" hidden="false" customHeight="true" outlineLevel="0" collapsed="false">
      <c r="A59" s="60" t="n">
        <f aca="false">Master_Dataset!A59</f>
        <v>58</v>
      </c>
      <c r="B59" s="60" t="n">
        <f aca="false">IF(ISNUMBER(SEARCH("|LOVE_ROMANCE|","|"&amp;Master_Dataset!$AH59&amp;"|")),1,0)</f>
        <v>0</v>
      </c>
      <c r="C59" s="60" t="n">
        <f aca="false">IF(ISNUMBER(SEARCH("|SEPARATION_LOSS|","|"&amp;Master_Dataset!$AH59&amp;"|")),1,0)</f>
        <v>0</v>
      </c>
      <c r="D59" s="60" t="n">
        <f aca="false">IF(ISNUMBER(SEARCH("|FAMILY|","|"&amp;Master_Dataset!$AH59&amp;"|")),1,0)</f>
        <v>1</v>
      </c>
      <c r="E59" s="60" t="n">
        <f aca="false">IF(ISNUMBER(SEARCH("|MONEY_MATERIALISM|","|"&amp;Master_Dataset!$AH59&amp;"|")),1,0)</f>
        <v>1</v>
      </c>
      <c r="F59" s="60" t="n">
        <f aca="false">IF(ISNUMBER(SEARCH("|CLASS_INEQUALITY_CRITIQUE|","|"&amp;Master_Dataset!$AH59&amp;"|")),1,0)</f>
        <v>0</v>
      </c>
      <c r="G59" s="60" t="n">
        <f aca="false">IF(ISNUMBER(SEARCH("|CONSUMER_STATUS|","|"&amp;Master_Dataset!$AH59&amp;"|")),1,0)</f>
        <v>0</v>
      </c>
      <c r="H59" s="60" t="n">
        <f aca="false">IF(ISNUMBER(SEARCH("|MIGRATION|","|"&amp;Master_Dataset!$AH59&amp;"|")),1,0)</f>
        <v>0</v>
      </c>
      <c r="I59" s="60" t="n">
        <f aca="false">IF(ISNUMBER(SEARCH("|EDUCATION|","|"&amp;Master_Dataset!$AH59&amp;"|")),1,0)</f>
        <v>0</v>
      </c>
      <c r="J59" s="60" t="n">
        <f aca="false">IF(ISNUMBER(SEARCH("|DRIVER_IDENTITY|","|"&amp;Master_Dataset!$AH59&amp;"|")),1,0)</f>
        <v>0</v>
      </c>
      <c r="K59" s="60" t="n">
        <f aca="false">IF(ISNUMBER(SEARCH("|LABOR_DIGNITY|","|"&amp;Master_Dataset!$AH59&amp;"|")),1,0)</f>
        <v>0</v>
      </c>
      <c r="L59" s="60" t="n">
        <f aca="false">IF(ISNUMBER(SEARCH("|FARE_LIVELIHOOD|","|"&amp;Master_Dataset!$AH59&amp;"|")),1,0)</f>
        <v>0</v>
      </c>
      <c r="M59" s="60" t="n">
        <f aca="false">IF(ISNUMBER(SEARCH("|MASCULINITY|","|"&amp;Master_Dataset!$AH59&amp;"|")),1,0)</f>
        <v>0</v>
      </c>
      <c r="N59" s="60" t="n">
        <f aca="false">IF(ISNUMBER(SEARCH("|WOMEN_REPRESENTATION|","|"&amp;Master_Dataset!$AH59&amp;"|")),1,0)</f>
        <v>0</v>
      </c>
      <c r="O59" s="60" t="n">
        <f aca="false">IF(ISNUMBER(SEARCH("|SELF_RESPECT|","|"&amp;Master_Dataset!$AH59&amp;"|")),1,0)</f>
        <v>0</v>
      </c>
      <c r="P59" s="60" t="n">
        <f aca="false">IF(ISNUMBER(SEARCH("|DISTRUST_HYPOCRISY|","|"&amp;Master_Dataset!$AH59&amp;"|")),1,0)</f>
        <v>0</v>
      </c>
      <c r="Q59" s="60" t="n">
        <f aca="false">IF(ISNUMBER(SEARCH("|MORAL_ADVICE|","|"&amp;Master_Dataset!$AH59&amp;"|")),1,0)</f>
        <v>0</v>
      </c>
      <c r="R59" s="60" t="n">
        <f aca="false">IF(ISNUMBER(SEARCH("|HOPE_RESILIENCE|","|"&amp;Master_Dataset!$AH59&amp;"|")),1,0)</f>
        <v>0</v>
      </c>
      <c r="S59" s="60" t="n">
        <f aca="false">IF(ISNUMBER(SEARCH("|RELIGION_FATE|","|"&amp;Master_Dataset!$AH59&amp;"|")),1,0)</f>
        <v>0</v>
      </c>
      <c r="T59" s="60" t="n">
        <f aca="false">IF(ISNUMBER(SEARCH("|MORTALITY_RISK|","|"&amp;Master_Dataset!$AH59&amp;"|")),1,0)</f>
        <v>0</v>
      </c>
      <c r="U59" s="60" t="n">
        <f aca="false">IF(ISNUMBER(SEARCH("|INSTITUTION_CRITIQUE|","|"&amp;Master_Dataset!$AH59&amp;"|")),1,0)</f>
        <v>0</v>
      </c>
      <c r="V59" s="60" t="n">
        <f aca="false">IF(ISNUMBER(SEARCH("|PLACE_IDENTITY|","|"&amp;Master_Dataset!$AH59&amp;"|")),1,0)</f>
        <v>0</v>
      </c>
      <c r="W59" s="60" t="n">
        <f aca="false">IF(ISNUMBER(SEARCH("|HUMOR|","|"&amp;Master_Dataset!$AH59&amp;"|")),1,0)</f>
        <v>0</v>
      </c>
      <c r="X59" s="60" t="n">
        <f aca="false">IF(ISNUMBER(SEARCH("|CODE_MIXING_SLANG|","|"&amp;Master_Dataset!$AH59&amp;"|")),1,0)</f>
        <v>0</v>
      </c>
    </row>
    <row r="60" customFormat="false" ht="15" hidden="false" customHeight="true" outlineLevel="0" collapsed="false">
      <c r="A60" s="60" t="n">
        <f aca="false">Master_Dataset!A60</f>
        <v>59</v>
      </c>
      <c r="B60" s="60" t="n">
        <f aca="false">IF(ISNUMBER(SEARCH("|LOVE_ROMANCE|","|"&amp;Master_Dataset!$AH60&amp;"|")),1,0)</f>
        <v>0</v>
      </c>
      <c r="C60" s="60" t="n">
        <f aca="false">IF(ISNUMBER(SEARCH("|SEPARATION_LOSS|","|"&amp;Master_Dataset!$AH60&amp;"|")),1,0)</f>
        <v>0</v>
      </c>
      <c r="D60" s="60" t="n">
        <f aca="false">IF(ISNUMBER(SEARCH("|FAMILY|","|"&amp;Master_Dataset!$AH60&amp;"|")),1,0)</f>
        <v>0</v>
      </c>
      <c r="E60" s="60" t="n">
        <f aca="false">IF(ISNUMBER(SEARCH("|MONEY_MATERIALISM|","|"&amp;Master_Dataset!$AH60&amp;"|")),1,0)</f>
        <v>0</v>
      </c>
      <c r="F60" s="60" t="n">
        <f aca="false">IF(ISNUMBER(SEARCH("|CLASS_INEQUALITY_CRITIQUE|","|"&amp;Master_Dataset!$AH60&amp;"|")),1,0)</f>
        <v>0</v>
      </c>
      <c r="G60" s="60" t="n">
        <f aca="false">IF(ISNUMBER(SEARCH("|CONSUMER_STATUS|","|"&amp;Master_Dataset!$AH60&amp;"|")),1,0)</f>
        <v>0</v>
      </c>
      <c r="H60" s="60" t="n">
        <f aca="false">IF(ISNUMBER(SEARCH("|MIGRATION|","|"&amp;Master_Dataset!$AH60&amp;"|")),1,0)</f>
        <v>0</v>
      </c>
      <c r="I60" s="60" t="n">
        <f aca="false">IF(ISNUMBER(SEARCH("|EDUCATION|","|"&amp;Master_Dataset!$AH60&amp;"|")),1,0)</f>
        <v>0</v>
      </c>
      <c r="J60" s="60" t="n">
        <f aca="false">IF(ISNUMBER(SEARCH("|DRIVER_IDENTITY|","|"&amp;Master_Dataset!$AH60&amp;"|")),1,0)</f>
        <v>0</v>
      </c>
      <c r="K60" s="60" t="n">
        <f aca="false">IF(ISNUMBER(SEARCH("|LABOR_DIGNITY|","|"&amp;Master_Dataset!$AH60&amp;"|")),1,0)</f>
        <v>0</v>
      </c>
      <c r="L60" s="60" t="n">
        <f aca="false">IF(ISNUMBER(SEARCH("|FARE_LIVELIHOOD|","|"&amp;Master_Dataset!$AH60&amp;"|")),1,0)</f>
        <v>0</v>
      </c>
      <c r="M60" s="60" t="n">
        <f aca="false">IF(ISNUMBER(SEARCH("|MASCULINITY|","|"&amp;Master_Dataset!$AH60&amp;"|")),1,0)</f>
        <v>0</v>
      </c>
      <c r="N60" s="60" t="n">
        <f aca="false">IF(ISNUMBER(SEARCH("|WOMEN_REPRESENTATION|","|"&amp;Master_Dataset!$AH60&amp;"|")),1,0)</f>
        <v>0</v>
      </c>
      <c r="O60" s="60" t="n">
        <f aca="false">IF(ISNUMBER(SEARCH("|SELF_RESPECT|","|"&amp;Master_Dataset!$AH60&amp;"|")),1,0)</f>
        <v>0</v>
      </c>
      <c r="P60" s="60" t="n">
        <f aca="false">IF(ISNUMBER(SEARCH("|DISTRUST_HYPOCRISY|","|"&amp;Master_Dataset!$AH60&amp;"|")),1,0)</f>
        <v>0</v>
      </c>
      <c r="Q60" s="60" t="n">
        <f aca="false">IF(ISNUMBER(SEARCH("|MORAL_ADVICE|","|"&amp;Master_Dataset!$AH60&amp;"|")),1,0)</f>
        <v>0</v>
      </c>
      <c r="R60" s="60" t="n">
        <f aca="false">IF(ISNUMBER(SEARCH("|HOPE_RESILIENCE|","|"&amp;Master_Dataset!$AH60&amp;"|")),1,0)</f>
        <v>1</v>
      </c>
      <c r="S60" s="60" t="n">
        <f aca="false">IF(ISNUMBER(SEARCH("|RELIGION_FATE|","|"&amp;Master_Dataset!$AH60&amp;"|")),1,0)</f>
        <v>1</v>
      </c>
      <c r="T60" s="60" t="n">
        <f aca="false">IF(ISNUMBER(SEARCH("|MORTALITY_RISK|","|"&amp;Master_Dataset!$AH60&amp;"|")),1,0)</f>
        <v>0</v>
      </c>
      <c r="U60" s="60" t="n">
        <f aca="false">IF(ISNUMBER(SEARCH("|INSTITUTION_CRITIQUE|","|"&amp;Master_Dataset!$AH60&amp;"|")),1,0)</f>
        <v>0</v>
      </c>
      <c r="V60" s="60" t="n">
        <f aca="false">IF(ISNUMBER(SEARCH("|PLACE_IDENTITY|","|"&amp;Master_Dataset!$AH60&amp;"|")),1,0)</f>
        <v>0</v>
      </c>
      <c r="W60" s="60" t="n">
        <f aca="false">IF(ISNUMBER(SEARCH("|HUMOR|","|"&amp;Master_Dataset!$AH60&amp;"|")),1,0)</f>
        <v>0</v>
      </c>
      <c r="X60" s="60" t="n">
        <f aca="false">IF(ISNUMBER(SEARCH("|CODE_MIXING_SLANG|","|"&amp;Master_Dataset!$AH60&amp;"|")),1,0)</f>
        <v>0</v>
      </c>
    </row>
    <row r="61" customFormat="false" ht="15" hidden="false" customHeight="true" outlineLevel="0" collapsed="false">
      <c r="A61" s="60" t="n">
        <f aca="false">Master_Dataset!A61</f>
        <v>60</v>
      </c>
      <c r="B61" s="60" t="n">
        <f aca="false">IF(ISNUMBER(SEARCH("|LOVE_ROMANCE|","|"&amp;Master_Dataset!$AH61&amp;"|")),1,0)</f>
        <v>0</v>
      </c>
      <c r="C61" s="60" t="n">
        <f aca="false">IF(ISNUMBER(SEARCH("|SEPARATION_LOSS|","|"&amp;Master_Dataset!$AH61&amp;"|")),1,0)</f>
        <v>0</v>
      </c>
      <c r="D61" s="60" t="n">
        <f aca="false">IF(ISNUMBER(SEARCH("|FAMILY|","|"&amp;Master_Dataset!$AH61&amp;"|")),1,0)</f>
        <v>0</v>
      </c>
      <c r="E61" s="60" t="n">
        <f aca="false">IF(ISNUMBER(SEARCH("|MONEY_MATERIALISM|","|"&amp;Master_Dataset!$AH61&amp;"|")),1,0)</f>
        <v>0</v>
      </c>
      <c r="F61" s="60" t="n">
        <f aca="false">IF(ISNUMBER(SEARCH("|CLASS_INEQUALITY_CRITIQUE|","|"&amp;Master_Dataset!$AH61&amp;"|")),1,0)</f>
        <v>0</v>
      </c>
      <c r="G61" s="60" t="n">
        <f aca="false">IF(ISNUMBER(SEARCH("|CONSUMER_STATUS|","|"&amp;Master_Dataset!$AH61&amp;"|")),1,0)</f>
        <v>0</v>
      </c>
      <c r="H61" s="60" t="n">
        <f aca="false">IF(ISNUMBER(SEARCH("|MIGRATION|","|"&amp;Master_Dataset!$AH61&amp;"|")),1,0)</f>
        <v>0</v>
      </c>
      <c r="I61" s="60" t="n">
        <f aca="false">IF(ISNUMBER(SEARCH("|EDUCATION|","|"&amp;Master_Dataset!$AH61&amp;"|")),1,0)</f>
        <v>0</v>
      </c>
      <c r="J61" s="60" t="n">
        <f aca="false">IF(ISNUMBER(SEARCH("|DRIVER_IDENTITY|","|"&amp;Master_Dataset!$AH61&amp;"|")),1,0)</f>
        <v>0</v>
      </c>
      <c r="K61" s="60" t="n">
        <f aca="false">IF(ISNUMBER(SEARCH("|LABOR_DIGNITY|","|"&amp;Master_Dataset!$AH61&amp;"|")),1,0)</f>
        <v>0</v>
      </c>
      <c r="L61" s="60" t="n">
        <f aca="false">IF(ISNUMBER(SEARCH("|FARE_LIVELIHOOD|","|"&amp;Master_Dataset!$AH61&amp;"|")),1,0)</f>
        <v>0</v>
      </c>
      <c r="M61" s="60" t="n">
        <f aca="false">IF(ISNUMBER(SEARCH("|MASCULINITY|","|"&amp;Master_Dataset!$AH61&amp;"|")),1,0)</f>
        <v>0</v>
      </c>
      <c r="N61" s="60" t="n">
        <f aca="false">IF(ISNUMBER(SEARCH("|WOMEN_REPRESENTATION|","|"&amp;Master_Dataset!$AH61&amp;"|")),1,0)</f>
        <v>0</v>
      </c>
      <c r="O61" s="60" t="n">
        <f aca="false">IF(ISNUMBER(SEARCH("|SELF_RESPECT|","|"&amp;Master_Dataset!$AH61&amp;"|")),1,0)</f>
        <v>0</v>
      </c>
      <c r="P61" s="60" t="n">
        <f aca="false">IF(ISNUMBER(SEARCH("|DISTRUST_HYPOCRISY|","|"&amp;Master_Dataset!$AH61&amp;"|")),1,0)</f>
        <v>0</v>
      </c>
      <c r="Q61" s="60" t="n">
        <f aca="false">IF(ISNUMBER(SEARCH("|MORAL_ADVICE|","|"&amp;Master_Dataset!$AH61&amp;"|")),1,0)</f>
        <v>1</v>
      </c>
      <c r="R61" s="60" t="n">
        <f aca="false">IF(ISNUMBER(SEARCH("|HOPE_RESILIENCE|","|"&amp;Master_Dataset!$AH61&amp;"|")),1,0)</f>
        <v>0</v>
      </c>
      <c r="S61" s="60" t="n">
        <f aca="false">IF(ISNUMBER(SEARCH("|RELIGION_FATE|","|"&amp;Master_Dataset!$AH61&amp;"|")),1,0)</f>
        <v>0</v>
      </c>
      <c r="T61" s="60" t="n">
        <f aca="false">IF(ISNUMBER(SEARCH("|MORTALITY_RISK|","|"&amp;Master_Dataset!$AH61&amp;"|")),1,0)</f>
        <v>0</v>
      </c>
      <c r="U61" s="60" t="n">
        <f aca="false">IF(ISNUMBER(SEARCH("|INSTITUTION_CRITIQUE|","|"&amp;Master_Dataset!$AH61&amp;"|")),1,0)</f>
        <v>0</v>
      </c>
      <c r="V61" s="60" t="n">
        <f aca="false">IF(ISNUMBER(SEARCH("|PLACE_IDENTITY|","|"&amp;Master_Dataset!$AH61&amp;"|")),1,0)</f>
        <v>0</v>
      </c>
      <c r="W61" s="60" t="n">
        <f aca="false">IF(ISNUMBER(SEARCH("|HUMOR|","|"&amp;Master_Dataset!$AH61&amp;"|")),1,0)</f>
        <v>0</v>
      </c>
      <c r="X61" s="60" t="n">
        <f aca="false">IF(ISNUMBER(SEARCH("|CODE_MIXING_SLANG|","|"&amp;Master_Dataset!$AH61&amp;"|")),1,0)</f>
        <v>0</v>
      </c>
    </row>
    <row r="62" customFormat="false" ht="15" hidden="false" customHeight="true" outlineLevel="0" collapsed="false">
      <c r="A62" s="60" t="n">
        <f aca="false">Master_Dataset!A62</f>
        <v>61</v>
      </c>
      <c r="B62" s="60" t="n">
        <f aca="false">IF(ISNUMBER(SEARCH("|LOVE_ROMANCE|","|"&amp;Master_Dataset!$AH62&amp;"|")),1,0)</f>
        <v>0</v>
      </c>
      <c r="C62" s="60" t="n">
        <f aca="false">IF(ISNUMBER(SEARCH("|SEPARATION_LOSS|","|"&amp;Master_Dataset!$AH62&amp;"|")),1,0)</f>
        <v>0</v>
      </c>
      <c r="D62" s="60" t="n">
        <f aca="false">IF(ISNUMBER(SEARCH("|FAMILY|","|"&amp;Master_Dataset!$AH62&amp;"|")),1,0)</f>
        <v>0</v>
      </c>
      <c r="E62" s="60" t="n">
        <f aca="false">IF(ISNUMBER(SEARCH("|MONEY_MATERIALISM|","|"&amp;Master_Dataset!$AH62&amp;"|")),1,0)</f>
        <v>1</v>
      </c>
      <c r="F62" s="60" t="n">
        <f aca="false">IF(ISNUMBER(SEARCH("|CLASS_INEQUALITY_CRITIQUE|","|"&amp;Master_Dataset!$AH62&amp;"|")),1,0)</f>
        <v>0</v>
      </c>
      <c r="G62" s="60" t="n">
        <f aca="false">IF(ISNUMBER(SEARCH("|CONSUMER_STATUS|","|"&amp;Master_Dataset!$AH62&amp;"|")),1,0)</f>
        <v>0</v>
      </c>
      <c r="H62" s="60" t="n">
        <f aca="false">IF(ISNUMBER(SEARCH("|MIGRATION|","|"&amp;Master_Dataset!$AH62&amp;"|")),1,0)</f>
        <v>0</v>
      </c>
      <c r="I62" s="60" t="n">
        <f aca="false">IF(ISNUMBER(SEARCH("|EDUCATION|","|"&amp;Master_Dataset!$AH62&amp;"|")),1,0)</f>
        <v>0</v>
      </c>
      <c r="J62" s="60" t="n">
        <f aca="false">IF(ISNUMBER(SEARCH("|DRIVER_IDENTITY|","|"&amp;Master_Dataset!$AH62&amp;"|")),1,0)</f>
        <v>0</v>
      </c>
      <c r="K62" s="60" t="n">
        <f aca="false">IF(ISNUMBER(SEARCH("|LABOR_DIGNITY|","|"&amp;Master_Dataset!$AH62&amp;"|")),1,0)</f>
        <v>0</v>
      </c>
      <c r="L62" s="60" t="n">
        <f aca="false">IF(ISNUMBER(SEARCH("|FARE_LIVELIHOOD|","|"&amp;Master_Dataset!$AH62&amp;"|")),1,0)</f>
        <v>0</v>
      </c>
      <c r="M62" s="60" t="n">
        <f aca="false">IF(ISNUMBER(SEARCH("|MASCULINITY|","|"&amp;Master_Dataset!$AH62&amp;"|")),1,0)</f>
        <v>0</v>
      </c>
      <c r="N62" s="60" t="n">
        <f aca="false">IF(ISNUMBER(SEARCH("|WOMEN_REPRESENTATION|","|"&amp;Master_Dataset!$AH62&amp;"|")),1,0)</f>
        <v>0</v>
      </c>
      <c r="O62" s="60" t="n">
        <f aca="false">IF(ISNUMBER(SEARCH("|SELF_RESPECT|","|"&amp;Master_Dataset!$AH62&amp;"|")),1,0)</f>
        <v>0</v>
      </c>
      <c r="P62" s="60" t="n">
        <f aca="false">IF(ISNUMBER(SEARCH("|DISTRUST_HYPOCRISY|","|"&amp;Master_Dataset!$AH62&amp;"|")),1,0)</f>
        <v>0</v>
      </c>
      <c r="Q62" s="60" t="n">
        <f aca="false">IF(ISNUMBER(SEARCH("|MORAL_ADVICE|","|"&amp;Master_Dataset!$AH62&amp;"|")),1,0)</f>
        <v>1</v>
      </c>
      <c r="R62" s="60" t="n">
        <f aca="false">IF(ISNUMBER(SEARCH("|HOPE_RESILIENCE|","|"&amp;Master_Dataset!$AH62&amp;"|")),1,0)</f>
        <v>0</v>
      </c>
      <c r="S62" s="60" t="n">
        <f aca="false">IF(ISNUMBER(SEARCH("|RELIGION_FATE|","|"&amp;Master_Dataset!$AH62&amp;"|")),1,0)</f>
        <v>0</v>
      </c>
      <c r="T62" s="60" t="n">
        <f aca="false">IF(ISNUMBER(SEARCH("|MORTALITY_RISK|","|"&amp;Master_Dataset!$AH62&amp;"|")),1,0)</f>
        <v>1</v>
      </c>
      <c r="U62" s="60" t="n">
        <f aca="false">IF(ISNUMBER(SEARCH("|INSTITUTION_CRITIQUE|","|"&amp;Master_Dataset!$AH62&amp;"|")),1,0)</f>
        <v>0</v>
      </c>
      <c r="V62" s="60" t="n">
        <f aca="false">IF(ISNUMBER(SEARCH("|PLACE_IDENTITY|","|"&amp;Master_Dataset!$AH62&amp;"|")),1,0)</f>
        <v>0</v>
      </c>
      <c r="W62" s="60" t="n">
        <f aca="false">IF(ISNUMBER(SEARCH("|HUMOR|","|"&amp;Master_Dataset!$AH62&amp;"|")),1,0)</f>
        <v>0</v>
      </c>
      <c r="X62" s="60" t="n">
        <f aca="false">IF(ISNUMBER(SEARCH("|CODE_MIXING_SLANG|","|"&amp;Master_Dataset!$AH62&amp;"|")),1,0)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6" width="30"/>
    <col collapsed="false" customWidth="true" hidden="false" outlineLevel="0" max="2" min="2" style="56" width="12"/>
    <col collapsed="false" customWidth="true" hidden="false" outlineLevel="0" max="3" min="3" style="56" width="14"/>
    <col collapsed="false" customWidth="true" hidden="false" outlineLevel="0" max="4" min="4" style="56" width="12"/>
  </cols>
  <sheetData>
    <row r="1" customFormat="false" ht="26.25" hidden="false" customHeight="true" outlineLevel="0" collapsed="false">
      <c r="A1" s="59" t="s">
        <v>86</v>
      </c>
      <c r="B1" s="59" t="s">
        <v>87</v>
      </c>
      <c r="C1" s="59" t="s">
        <v>1062</v>
      </c>
      <c r="D1" s="59" t="s">
        <v>1063</v>
      </c>
    </row>
    <row r="2" customFormat="false" ht="15" hidden="false" customHeight="true" outlineLevel="0" collapsed="false">
      <c r="A2" s="61" t="s">
        <v>90</v>
      </c>
      <c r="B2" s="61" t="s">
        <v>91</v>
      </c>
      <c r="C2" s="61" t="n">
        <f aca="false">SUM(Code_Matrix!B2:B62)</f>
        <v>18</v>
      </c>
      <c r="D2" s="62" t="n">
        <f aca="false">C2/61</f>
        <v>0.295081967213115</v>
      </c>
    </row>
    <row r="3" customFormat="false" ht="15" hidden="false" customHeight="true" outlineLevel="0" collapsed="false">
      <c r="A3" s="61" t="s">
        <v>93</v>
      </c>
      <c r="B3" s="61" t="s">
        <v>91</v>
      </c>
      <c r="C3" s="61" t="n">
        <f aca="false">SUM(Code_Matrix!C2:C62)</f>
        <v>8</v>
      </c>
      <c r="D3" s="62" t="n">
        <f aca="false">C3/61</f>
        <v>0.131147540983607</v>
      </c>
    </row>
    <row r="4" customFormat="false" ht="15" hidden="false" customHeight="true" outlineLevel="0" collapsed="false">
      <c r="A4" s="61" t="s">
        <v>95</v>
      </c>
      <c r="B4" s="61" t="s">
        <v>91</v>
      </c>
      <c r="C4" s="61" t="n">
        <f aca="false">SUM(Code_Matrix!D2:D62)</f>
        <v>9</v>
      </c>
      <c r="D4" s="62" t="n">
        <f aca="false">C4/61</f>
        <v>0.147540983606557</v>
      </c>
    </row>
    <row r="5" customFormat="false" ht="15" hidden="false" customHeight="true" outlineLevel="0" collapsed="false">
      <c r="A5" s="61" t="s">
        <v>97</v>
      </c>
      <c r="B5" s="61" t="s">
        <v>91</v>
      </c>
      <c r="C5" s="61" t="n">
        <f aca="false">SUM(Code_Matrix!E2:E62)</f>
        <v>11</v>
      </c>
      <c r="D5" s="62" t="n">
        <f aca="false">C5/61</f>
        <v>0.180327868852459</v>
      </c>
    </row>
    <row r="6" customFormat="false" ht="15" hidden="false" customHeight="true" outlineLevel="0" collapsed="false">
      <c r="A6" s="61" t="s">
        <v>99</v>
      </c>
      <c r="B6" s="61" t="s">
        <v>91</v>
      </c>
      <c r="C6" s="61" t="n">
        <f aca="false">SUM(Code_Matrix!F2:F62)</f>
        <v>7</v>
      </c>
      <c r="D6" s="62" t="n">
        <f aca="false">C6/61</f>
        <v>0.114754098360656</v>
      </c>
    </row>
    <row r="7" customFormat="false" ht="15" hidden="false" customHeight="true" outlineLevel="0" collapsed="false">
      <c r="A7" s="61" t="s">
        <v>101</v>
      </c>
      <c r="B7" s="61" t="s">
        <v>102</v>
      </c>
      <c r="C7" s="61" t="n">
        <f aca="false">SUM(Code_Matrix!G2:G62)</f>
        <v>2</v>
      </c>
      <c r="D7" s="62" t="n">
        <f aca="false">C7/61</f>
        <v>0.0327868852459016</v>
      </c>
    </row>
    <row r="8" customFormat="false" ht="15" hidden="false" customHeight="true" outlineLevel="0" collapsed="false">
      <c r="A8" s="61" t="s">
        <v>104</v>
      </c>
      <c r="B8" s="61" t="s">
        <v>91</v>
      </c>
      <c r="C8" s="61" t="n">
        <f aca="false">SUM(Code_Matrix!H2:H62)</f>
        <v>4</v>
      </c>
      <c r="D8" s="62" t="n">
        <f aca="false">C8/61</f>
        <v>0.0655737704918033</v>
      </c>
    </row>
    <row r="9" customFormat="false" ht="15" hidden="false" customHeight="true" outlineLevel="0" collapsed="false">
      <c r="A9" s="61" t="s">
        <v>106</v>
      </c>
      <c r="B9" s="61" t="s">
        <v>91</v>
      </c>
      <c r="C9" s="61" t="n">
        <f aca="false">SUM(Code_Matrix!I2:I62)</f>
        <v>1</v>
      </c>
      <c r="D9" s="62" t="n">
        <f aca="false">C9/61</f>
        <v>0.0163934426229508</v>
      </c>
    </row>
    <row r="10" customFormat="false" ht="15" hidden="false" customHeight="true" outlineLevel="0" collapsed="false">
      <c r="A10" s="61" t="s">
        <v>108</v>
      </c>
      <c r="B10" s="61" t="s">
        <v>102</v>
      </c>
      <c r="C10" s="61" t="n">
        <f aca="false">SUM(Code_Matrix!J2:J62)</f>
        <v>8</v>
      </c>
      <c r="D10" s="62" t="n">
        <f aca="false">C10/61</f>
        <v>0.131147540983607</v>
      </c>
    </row>
    <row r="11" customFormat="false" ht="15" hidden="false" customHeight="true" outlineLevel="0" collapsed="false">
      <c r="A11" s="61" t="s">
        <v>110</v>
      </c>
      <c r="B11" s="61" t="s">
        <v>102</v>
      </c>
      <c r="C11" s="61" t="n">
        <f aca="false">SUM(Code_Matrix!K2:K62)</f>
        <v>8</v>
      </c>
      <c r="D11" s="62" t="n">
        <f aca="false">C11/61</f>
        <v>0.131147540983607</v>
      </c>
    </row>
    <row r="12" customFormat="false" ht="15" hidden="false" customHeight="true" outlineLevel="0" collapsed="false">
      <c r="A12" s="61" t="s">
        <v>112</v>
      </c>
      <c r="B12" s="61" t="s">
        <v>102</v>
      </c>
      <c r="C12" s="61" t="n">
        <f aca="false">SUM(Code_Matrix!L2:L62)</f>
        <v>4</v>
      </c>
      <c r="D12" s="62" t="n">
        <f aca="false">C12/61</f>
        <v>0.0655737704918033</v>
      </c>
    </row>
    <row r="13" customFormat="false" ht="15" hidden="false" customHeight="true" outlineLevel="0" collapsed="false">
      <c r="A13" s="61" t="s">
        <v>114</v>
      </c>
      <c r="B13" s="61" t="s">
        <v>91</v>
      </c>
      <c r="C13" s="61" t="n">
        <f aca="false">SUM(Code_Matrix!M2:M62)</f>
        <v>5</v>
      </c>
      <c r="D13" s="62" t="n">
        <f aca="false">C13/61</f>
        <v>0.0819672131147541</v>
      </c>
    </row>
    <row r="14" customFormat="false" ht="15" hidden="false" customHeight="true" outlineLevel="0" collapsed="false">
      <c r="A14" s="61" t="s">
        <v>116</v>
      </c>
      <c r="B14" s="61" t="s">
        <v>91</v>
      </c>
      <c r="C14" s="61" t="n">
        <f aca="false">SUM(Code_Matrix!N2:N62)</f>
        <v>4</v>
      </c>
      <c r="D14" s="62" t="n">
        <f aca="false">C14/61</f>
        <v>0.0655737704918033</v>
      </c>
    </row>
    <row r="15" customFormat="false" ht="15" hidden="false" customHeight="true" outlineLevel="0" collapsed="false">
      <c r="A15" s="61" t="s">
        <v>118</v>
      </c>
      <c r="B15" s="61" t="s">
        <v>102</v>
      </c>
      <c r="C15" s="61" t="n">
        <f aca="false">SUM(Code_Matrix!O2:O62)</f>
        <v>10</v>
      </c>
      <c r="D15" s="62" t="n">
        <f aca="false">C15/61</f>
        <v>0.163934426229508</v>
      </c>
    </row>
    <row r="16" customFormat="false" ht="15" hidden="false" customHeight="true" outlineLevel="0" collapsed="false">
      <c r="A16" s="61" t="s">
        <v>120</v>
      </c>
      <c r="B16" s="61" t="s">
        <v>102</v>
      </c>
      <c r="C16" s="61" t="n">
        <f aca="false">SUM(Code_Matrix!P2:P62)</f>
        <v>7</v>
      </c>
      <c r="D16" s="62" t="n">
        <f aca="false">C16/61</f>
        <v>0.114754098360656</v>
      </c>
    </row>
    <row r="17" customFormat="false" ht="15" hidden="false" customHeight="true" outlineLevel="0" collapsed="false">
      <c r="A17" s="61" t="s">
        <v>122</v>
      </c>
      <c r="B17" s="61" t="s">
        <v>91</v>
      </c>
      <c r="C17" s="61" t="n">
        <f aca="false">SUM(Code_Matrix!Q2:Q62)</f>
        <v>11</v>
      </c>
      <c r="D17" s="62" t="n">
        <f aca="false">C17/61</f>
        <v>0.180327868852459</v>
      </c>
    </row>
    <row r="18" customFormat="false" ht="15" hidden="false" customHeight="true" outlineLevel="0" collapsed="false">
      <c r="A18" s="61" t="s">
        <v>124</v>
      </c>
      <c r="B18" s="61" t="s">
        <v>91</v>
      </c>
      <c r="C18" s="61" t="n">
        <f aca="false">SUM(Code_Matrix!R2:R62)</f>
        <v>10</v>
      </c>
      <c r="D18" s="62" t="n">
        <f aca="false">C18/61</f>
        <v>0.163934426229508</v>
      </c>
    </row>
    <row r="19" customFormat="false" ht="15" hidden="false" customHeight="true" outlineLevel="0" collapsed="false">
      <c r="A19" s="61" t="s">
        <v>126</v>
      </c>
      <c r="B19" s="61" t="s">
        <v>91</v>
      </c>
      <c r="C19" s="61" t="n">
        <f aca="false">SUM(Code_Matrix!S2:S62)</f>
        <v>4</v>
      </c>
      <c r="D19" s="62" t="n">
        <f aca="false">C19/61</f>
        <v>0.0655737704918033</v>
      </c>
    </row>
    <row r="20" customFormat="false" ht="15" hidden="false" customHeight="true" outlineLevel="0" collapsed="false">
      <c r="A20" s="61" t="s">
        <v>128</v>
      </c>
      <c r="B20" s="61" t="s">
        <v>91</v>
      </c>
      <c r="C20" s="61" t="n">
        <f aca="false">SUM(Code_Matrix!T2:T62)</f>
        <v>5</v>
      </c>
      <c r="D20" s="62" t="n">
        <f aca="false">C20/61</f>
        <v>0.0819672131147541</v>
      </c>
    </row>
    <row r="21" customFormat="false" ht="15" hidden="false" customHeight="true" outlineLevel="0" collapsed="false">
      <c r="A21" s="61" t="s">
        <v>130</v>
      </c>
      <c r="B21" s="61" t="s">
        <v>91</v>
      </c>
      <c r="C21" s="61" t="n">
        <f aca="false">SUM(Code_Matrix!U2:U62)</f>
        <v>4</v>
      </c>
      <c r="D21" s="62" t="n">
        <f aca="false">C21/61</f>
        <v>0.0655737704918033</v>
      </c>
    </row>
    <row r="22" customFormat="false" ht="15" hidden="false" customHeight="true" outlineLevel="0" collapsed="false">
      <c r="A22" s="61" t="s">
        <v>132</v>
      </c>
      <c r="B22" s="61" t="s">
        <v>91</v>
      </c>
      <c r="C22" s="61" t="n">
        <f aca="false">SUM(Code_Matrix!V2:V62)</f>
        <v>4</v>
      </c>
      <c r="D22" s="62" t="n">
        <f aca="false">C22/61</f>
        <v>0.0655737704918033</v>
      </c>
    </row>
    <row r="23" customFormat="false" ht="15" hidden="false" customHeight="true" outlineLevel="0" collapsed="false">
      <c r="A23" s="61" t="s">
        <v>134</v>
      </c>
      <c r="B23" s="61" t="s">
        <v>91</v>
      </c>
      <c r="C23" s="61" t="n">
        <f aca="false">SUM(Code_Matrix!W2:W62)</f>
        <v>17</v>
      </c>
      <c r="D23" s="62" t="n">
        <f aca="false">C23/61</f>
        <v>0.278688524590164</v>
      </c>
    </row>
    <row r="24" customFormat="false" ht="15" hidden="false" customHeight="true" outlineLevel="0" collapsed="false">
      <c r="A24" s="61" t="s">
        <v>136</v>
      </c>
      <c r="B24" s="61" t="s">
        <v>102</v>
      </c>
      <c r="C24" s="61" t="n">
        <f aca="false">SUM(Code_Matrix!X2:X62)</f>
        <v>4</v>
      </c>
      <c r="D24" s="62" t="n">
        <f aca="false">C24/61</f>
        <v>0.0655737704918033</v>
      </c>
    </row>
    <row r="25" customFormat="false" ht="15" hidden="false" customHeight="true" outlineLevel="0" collapsed="false">
      <c r="A25" s="61"/>
      <c r="B25" s="61"/>
      <c r="C25" s="61"/>
      <c r="D25" s="61"/>
    </row>
    <row r="26" customFormat="false" ht="15" hidden="false" customHeight="true" outlineLevel="0" collapsed="false">
      <c r="A26" s="61"/>
      <c r="B26" s="61"/>
      <c r="C26" s="61"/>
      <c r="D26" s="61"/>
    </row>
    <row r="27" customFormat="false" ht="15" hidden="false" customHeight="true" outlineLevel="0" collapsed="false">
      <c r="A27" s="63" t="s">
        <v>163</v>
      </c>
      <c r="B27" s="63" t="s">
        <v>89</v>
      </c>
      <c r="C27" s="63" t="s">
        <v>1064</v>
      </c>
      <c r="D27" s="61"/>
    </row>
    <row r="28" customFormat="false" ht="15" hidden="false" customHeight="true" outlineLevel="0" collapsed="false">
      <c r="A28" s="61" t="s">
        <v>318</v>
      </c>
      <c r="B28" s="61" t="n">
        <f aca="false">COUNTIF(Master_Dataset!Z2:Z62,"Positive")</f>
        <v>15</v>
      </c>
      <c r="C28" s="62" t="n">
        <f aca="false">B28/61</f>
        <v>0.245901639344262</v>
      </c>
      <c r="D28" s="61"/>
    </row>
    <row r="29" customFormat="false" ht="15" hidden="false" customHeight="true" outlineLevel="0" collapsed="false">
      <c r="A29" s="61" t="s">
        <v>193</v>
      </c>
      <c r="B29" s="61" t="n">
        <f aca="false">COUNTIF(Master_Dataset!Z2:Z62,"Negative")</f>
        <v>19</v>
      </c>
      <c r="C29" s="62" t="n">
        <f aca="false">B29/61</f>
        <v>0.311475409836066</v>
      </c>
      <c r="D29" s="61"/>
    </row>
    <row r="30" customFormat="false" ht="15" hidden="false" customHeight="true" outlineLevel="0" collapsed="false">
      <c r="A30" s="61" t="s">
        <v>277</v>
      </c>
      <c r="B30" s="61" t="n">
        <f aca="false">COUNTIF(Master_Dataset!Z2:Z62,"Mixed")</f>
        <v>25</v>
      </c>
      <c r="C30" s="62" t="n">
        <f aca="false">B30/61</f>
        <v>0.409836065573771</v>
      </c>
      <c r="D30" s="61"/>
    </row>
    <row r="31" customFormat="false" ht="15" hidden="false" customHeight="true" outlineLevel="0" collapsed="false">
      <c r="A31" s="61" t="s">
        <v>777</v>
      </c>
      <c r="B31" s="61" t="n">
        <f aca="false">COUNTIF(Master_Dataset!Z2:Z62,"Neutral")</f>
        <v>2</v>
      </c>
      <c r="C31" s="62" t="n">
        <f aca="false">B31/61</f>
        <v>0.0327868852459016</v>
      </c>
      <c r="D31" s="61"/>
    </row>
    <row r="32" customFormat="false" ht="15" hidden="false" customHeight="true" outlineLevel="0" collapsed="false">
      <c r="A32" s="61"/>
      <c r="B32" s="61"/>
      <c r="C32" s="61"/>
      <c r="D32" s="61"/>
    </row>
    <row r="33" customFormat="false" ht="15" hidden="false" customHeight="true" outlineLevel="0" collapsed="false">
      <c r="A33" s="61"/>
      <c r="B33" s="61"/>
      <c r="C33" s="61"/>
      <c r="D33" s="61"/>
    </row>
    <row r="34" customFormat="false" ht="15" hidden="false" customHeight="true" outlineLevel="0" collapsed="false">
      <c r="A34" s="63" t="s">
        <v>167</v>
      </c>
      <c r="B34" s="63" t="s">
        <v>89</v>
      </c>
      <c r="C34" s="63" t="s">
        <v>1064</v>
      </c>
      <c r="D34" s="61"/>
    </row>
    <row r="35" customFormat="false" ht="15" hidden="false" customHeight="true" outlineLevel="0" collapsed="false">
      <c r="A35" s="61" t="s">
        <v>197</v>
      </c>
      <c r="B35" s="61" t="n">
        <f aca="false">COUNTIF(Master_Dataset!AD2:AD62,"High")</f>
        <v>45</v>
      </c>
      <c r="C35" s="62" t="n">
        <f aca="false">B35/61</f>
        <v>0.737704918032787</v>
      </c>
      <c r="D35" s="61"/>
    </row>
    <row r="36" customFormat="false" ht="15" hidden="false" customHeight="true" outlineLevel="0" collapsed="false">
      <c r="A36" s="61" t="s">
        <v>280</v>
      </c>
      <c r="B36" s="61" t="n">
        <f aca="false">COUNTIF(Master_Dataset!AD2:AD62,"Medium")</f>
        <v>11</v>
      </c>
      <c r="C36" s="62" t="n">
        <f aca="false">B36/61</f>
        <v>0.180327868852459</v>
      </c>
      <c r="D36" s="61"/>
    </row>
    <row r="37" customFormat="false" ht="15" hidden="false" customHeight="true" outlineLevel="0" collapsed="false">
      <c r="A37" s="61" t="s">
        <v>270</v>
      </c>
      <c r="B37" s="61" t="n">
        <f aca="false">COUNTIF(Master_Dataset!AD2:AD62,"Low")</f>
        <v>5</v>
      </c>
      <c r="C37" s="62" t="n">
        <f aca="false">B37/61</f>
        <v>0.0819672131147541</v>
      </c>
      <c r="D37" s="61"/>
    </row>
    <row r="38" customFormat="false" ht="15" hidden="false" customHeight="true" outlineLevel="0" collapsed="false">
      <c r="A38" s="61"/>
      <c r="B38" s="61"/>
      <c r="C38" s="61"/>
      <c r="D38" s="61"/>
    </row>
    <row r="39" customFormat="false" ht="15" hidden="false" customHeight="true" outlineLevel="0" collapsed="false">
      <c r="A39" s="61"/>
      <c r="B39" s="61"/>
      <c r="C39" s="61"/>
      <c r="D39" s="61"/>
    </row>
    <row r="40" customFormat="false" ht="15" hidden="false" customHeight="true" outlineLevel="0" collapsed="false">
      <c r="A40" s="63" t="s">
        <v>1065</v>
      </c>
      <c r="B40" s="63" t="s">
        <v>89</v>
      </c>
      <c r="C40" s="61"/>
      <c r="D40" s="61"/>
    </row>
    <row r="41" customFormat="false" ht="15" hidden="false" customHeight="true" outlineLevel="0" collapsed="false">
      <c r="A41" s="61" t="s">
        <v>1066</v>
      </c>
      <c r="B41" s="61" t="n">
        <f aca="false">COUNTIF(Master_Dataset!AF2:AF62,"Y")</f>
        <v>27</v>
      </c>
      <c r="C41" s="61"/>
      <c r="D41" s="6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6" width="30"/>
    <col collapsed="false" customWidth="true" hidden="false" outlineLevel="0" max="24" min="2" style="56" width="5"/>
  </cols>
  <sheetData>
    <row r="1" customFormat="false" ht="15" hidden="false" customHeight="true" outlineLevel="0" collapsed="false">
      <c r="A1" s="64" t="s">
        <v>1067</v>
      </c>
    </row>
    <row r="2" customFormat="false" ht="169.5" hidden="false" customHeight="true" outlineLevel="0" collapsed="false">
      <c r="B2" s="65" t="s">
        <v>90</v>
      </c>
      <c r="C2" s="65" t="s">
        <v>93</v>
      </c>
      <c r="D2" s="65" t="s">
        <v>95</v>
      </c>
      <c r="E2" s="65" t="s">
        <v>97</v>
      </c>
      <c r="F2" s="65" t="s">
        <v>99</v>
      </c>
      <c r="G2" s="65" t="s">
        <v>101</v>
      </c>
      <c r="H2" s="65" t="s">
        <v>104</v>
      </c>
      <c r="I2" s="65" t="s">
        <v>106</v>
      </c>
      <c r="J2" s="65" t="s">
        <v>108</v>
      </c>
      <c r="K2" s="65" t="s">
        <v>110</v>
      </c>
      <c r="L2" s="65" t="s">
        <v>112</v>
      </c>
      <c r="M2" s="65" t="s">
        <v>114</v>
      </c>
      <c r="N2" s="65" t="s">
        <v>116</v>
      </c>
      <c r="O2" s="65" t="s">
        <v>118</v>
      </c>
      <c r="P2" s="65" t="s">
        <v>120</v>
      </c>
      <c r="Q2" s="65" t="s">
        <v>122</v>
      </c>
      <c r="R2" s="65" t="s">
        <v>124</v>
      </c>
      <c r="S2" s="65" t="s">
        <v>126</v>
      </c>
      <c r="T2" s="65" t="s">
        <v>128</v>
      </c>
      <c r="U2" s="65" t="s">
        <v>130</v>
      </c>
      <c r="V2" s="65" t="s">
        <v>132</v>
      </c>
      <c r="W2" s="65" t="s">
        <v>134</v>
      </c>
      <c r="X2" s="65" t="s">
        <v>136</v>
      </c>
    </row>
    <row r="3" customFormat="false" ht="15" hidden="false" customHeight="true" outlineLevel="0" collapsed="false">
      <c r="A3" s="63" t="s">
        <v>90</v>
      </c>
      <c r="B3" s="66" t="n">
        <f aca="false">SUMPRODUCT(Code_Matrix!B$2:B$62,Code_Matrix!B$2:B$62)</f>
        <v>18</v>
      </c>
      <c r="C3" s="66" t="n">
        <f aca="false">SUMPRODUCT(Code_Matrix!B$2:B$62,Code_Matrix!C$2:C$62)</f>
        <v>8</v>
      </c>
      <c r="D3" s="66" t="n">
        <f aca="false">SUMPRODUCT(Code_Matrix!B$2:B$62,Code_Matrix!D$2:D$62)</f>
        <v>0</v>
      </c>
      <c r="E3" s="66" t="n">
        <f aca="false">SUMPRODUCT(Code_Matrix!B$2:B$62,Code_Matrix!E$2:E$62)</f>
        <v>1</v>
      </c>
      <c r="F3" s="66" t="n">
        <f aca="false">SUMPRODUCT(Code_Matrix!B$2:B$62,Code_Matrix!F$2:F$62)</f>
        <v>1</v>
      </c>
      <c r="G3" s="66" t="n">
        <f aca="false">SUMPRODUCT(Code_Matrix!B$2:B$62,Code_Matrix!G$2:G$62)</f>
        <v>2</v>
      </c>
      <c r="H3" s="66" t="n">
        <f aca="false">SUMPRODUCT(Code_Matrix!B$2:B$62,Code_Matrix!H$2:H$62)</f>
        <v>1</v>
      </c>
      <c r="I3" s="66" t="n">
        <f aca="false">SUMPRODUCT(Code_Matrix!B$2:B$62,Code_Matrix!I$2:I$62)</f>
        <v>0</v>
      </c>
      <c r="J3" s="66" t="n">
        <f aca="false">SUMPRODUCT(Code_Matrix!B$2:B$62,Code_Matrix!J$2:J$62)</f>
        <v>3</v>
      </c>
      <c r="K3" s="66" t="n">
        <f aca="false">SUMPRODUCT(Code_Matrix!B$2:B$62,Code_Matrix!K$2:K$62)</f>
        <v>2</v>
      </c>
      <c r="L3" s="66" t="n">
        <f aca="false">SUMPRODUCT(Code_Matrix!B$2:B$62,Code_Matrix!L$2:L$62)</f>
        <v>2</v>
      </c>
      <c r="M3" s="66" t="n">
        <f aca="false">SUMPRODUCT(Code_Matrix!B$2:B$62,Code_Matrix!M$2:M$62)</f>
        <v>1</v>
      </c>
      <c r="N3" s="66" t="n">
        <f aca="false">SUMPRODUCT(Code_Matrix!B$2:B$62,Code_Matrix!N$2:N$62)</f>
        <v>2</v>
      </c>
      <c r="O3" s="66" t="n">
        <f aca="false">SUMPRODUCT(Code_Matrix!B$2:B$62,Code_Matrix!O$2:O$62)</f>
        <v>2</v>
      </c>
      <c r="P3" s="66" t="n">
        <f aca="false">SUMPRODUCT(Code_Matrix!B$2:B$62,Code_Matrix!P$2:P$62)</f>
        <v>0</v>
      </c>
      <c r="Q3" s="66" t="n">
        <f aca="false">SUMPRODUCT(Code_Matrix!B$2:B$62,Code_Matrix!Q$2:Q$62)</f>
        <v>2</v>
      </c>
      <c r="R3" s="66" t="n">
        <f aca="false">SUMPRODUCT(Code_Matrix!B$2:B$62,Code_Matrix!R$2:R$62)</f>
        <v>3</v>
      </c>
      <c r="S3" s="66" t="n">
        <f aca="false">SUMPRODUCT(Code_Matrix!B$2:B$62,Code_Matrix!S$2:S$62)</f>
        <v>1</v>
      </c>
      <c r="T3" s="66" t="n">
        <f aca="false">SUMPRODUCT(Code_Matrix!B$2:B$62,Code_Matrix!T$2:T$62)</f>
        <v>0</v>
      </c>
      <c r="U3" s="66" t="n">
        <f aca="false">SUMPRODUCT(Code_Matrix!B$2:B$62,Code_Matrix!U$2:U$62)</f>
        <v>0</v>
      </c>
      <c r="V3" s="66" t="n">
        <f aca="false">SUMPRODUCT(Code_Matrix!B$2:B$62,Code_Matrix!V$2:V$62)</f>
        <v>1</v>
      </c>
      <c r="W3" s="66" t="n">
        <f aca="false">SUMPRODUCT(Code_Matrix!B$2:B$62,Code_Matrix!W$2:W$62)</f>
        <v>6</v>
      </c>
      <c r="X3" s="66" t="n">
        <f aca="false">SUMPRODUCT(Code_Matrix!B$2:B$62,Code_Matrix!X$2:X$62)</f>
        <v>2</v>
      </c>
    </row>
    <row r="4" customFormat="false" ht="15" hidden="false" customHeight="true" outlineLevel="0" collapsed="false">
      <c r="A4" s="63" t="s">
        <v>93</v>
      </c>
      <c r="B4" s="66" t="n">
        <f aca="false">SUMPRODUCT(Code_Matrix!C$2:C$62,Code_Matrix!B$2:B$62)</f>
        <v>8</v>
      </c>
      <c r="C4" s="66" t="n">
        <f aca="false">SUMPRODUCT(Code_Matrix!C$2:C$62,Code_Matrix!C$2:C$62)</f>
        <v>8</v>
      </c>
      <c r="D4" s="66" t="n">
        <f aca="false">SUMPRODUCT(Code_Matrix!C$2:C$62,Code_Matrix!D$2:D$62)</f>
        <v>0</v>
      </c>
      <c r="E4" s="66" t="n">
        <f aca="false">SUMPRODUCT(Code_Matrix!C$2:C$62,Code_Matrix!E$2:E$62)</f>
        <v>1</v>
      </c>
      <c r="F4" s="66" t="n">
        <f aca="false">SUMPRODUCT(Code_Matrix!C$2:C$62,Code_Matrix!F$2:F$62)</f>
        <v>1</v>
      </c>
      <c r="G4" s="66" t="n">
        <f aca="false">SUMPRODUCT(Code_Matrix!C$2:C$62,Code_Matrix!G$2:G$62)</f>
        <v>2</v>
      </c>
      <c r="H4" s="66" t="n">
        <f aca="false">SUMPRODUCT(Code_Matrix!C$2:C$62,Code_Matrix!H$2:H$62)</f>
        <v>1</v>
      </c>
      <c r="I4" s="66" t="n">
        <f aca="false">SUMPRODUCT(Code_Matrix!C$2:C$62,Code_Matrix!I$2:I$62)</f>
        <v>0</v>
      </c>
      <c r="J4" s="66" t="n">
        <f aca="false">SUMPRODUCT(Code_Matrix!C$2:C$62,Code_Matrix!J$2:J$62)</f>
        <v>0</v>
      </c>
      <c r="K4" s="66" t="n">
        <f aca="false">SUMPRODUCT(Code_Matrix!C$2:C$62,Code_Matrix!K$2:K$62)</f>
        <v>0</v>
      </c>
      <c r="L4" s="66" t="n">
        <f aca="false">SUMPRODUCT(Code_Matrix!C$2:C$62,Code_Matrix!L$2:L$62)</f>
        <v>0</v>
      </c>
      <c r="M4" s="66" t="n">
        <f aca="false">SUMPRODUCT(Code_Matrix!C$2:C$62,Code_Matrix!M$2:M$62)</f>
        <v>0</v>
      </c>
      <c r="N4" s="66" t="n">
        <f aca="false">SUMPRODUCT(Code_Matrix!C$2:C$62,Code_Matrix!N$2:N$62)</f>
        <v>0</v>
      </c>
      <c r="O4" s="66" t="n">
        <f aca="false">SUMPRODUCT(Code_Matrix!C$2:C$62,Code_Matrix!O$2:O$62)</f>
        <v>0</v>
      </c>
      <c r="P4" s="66" t="n">
        <f aca="false">SUMPRODUCT(Code_Matrix!C$2:C$62,Code_Matrix!P$2:P$62)</f>
        <v>0</v>
      </c>
      <c r="Q4" s="66" t="n">
        <f aca="false">SUMPRODUCT(Code_Matrix!C$2:C$62,Code_Matrix!Q$2:Q$62)</f>
        <v>0</v>
      </c>
      <c r="R4" s="66" t="n">
        <f aca="false">SUMPRODUCT(Code_Matrix!C$2:C$62,Code_Matrix!R$2:R$62)</f>
        <v>1</v>
      </c>
      <c r="S4" s="66" t="n">
        <f aca="false">SUMPRODUCT(Code_Matrix!C$2:C$62,Code_Matrix!S$2:S$62)</f>
        <v>0</v>
      </c>
      <c r="T4" s="66" t="n">
        <f aca="false">SUMPRODUCT(Code_Matrix!C$2:C$62,Code_Matrix!T$2:T$62)</f>
        <v>0</v>
      </c>
      <c r="U4" s="66" t="n">
        <f aca="false">SUMPRODUCT(Code_Matrix!C$2:C$62,Code_Matrix!U$2:U$62)</f>
        <v>0</v>
      </c>
      <c r="V4" s="66" t="n">
        <f aca="false">SUMPRODUCT(Code_Matrix!C$2:C$62,Code_Matrix!V$2:V$62)</f>
        <v>0</v>
      </c>
      <c r="W4" s="66" t="n">
        <f aca="false">SUMPRODUCT(Code_Matrix!C$2:C$62,Code_Matrix!W$2:W$62)</f>
        <v>0</v>
      </c>
      <c r="X4" s="66" t="n">
        <f aca="false">SUMPRODUCT(Code_Matrix!C$2:C$62,Code_Matrix!X$2:X$62)</f>
        <v>0</v>
      </c>
    </row>
    <row r="5" customFormat="false" ht="15" hidden="false" customHeight="true" outlineLevel="0" collapsed="false">
      <c r="A5" s="63" t="s">
        <v>95</v>
      </c>
      <c r="B5" s="66" t="n">
        <f aca="false">SUMPRODUCT(Code_Matrix!D$2:D$62,Code_Matrix!B$2:B$62)</f>
        <v>0</v>
      </c>
      <c r="C5" s="66" t="n">
        <f aca="false">SUMPRODUCT(Code_Matrix!D$2:D$62,Code_Matrix!C$2:C$62)</f>
        <v>0</v>
      </c>
      <c r="D5" s="66" t="n">
        <f aca="false">SUMPRODUCT(Code_Matrix!D$2:D$62,Code_Matrix!D$2:D$62)</f>
        <v>9</v>
      </c>
      <c r="E5" s="66" t="n">
        <f aca="false">SUMPRODUCT(Code_Matrix!D$2:D$62,Code_Matrix!E$2:E$62)</f>
        <v>5</v>
      </c>
      <c r="F5" s="66" t="n">
        <f aca="false">SUMPRODUCT(Code_Matrix!D$2:D$62,Code_Matrix!F$2:F$62)</f>
        <v>2</v>
      </c>
      <c r="G5" s="66" t="n">
        <f aca="false">SUMPRODUCT(Code_Matrix!D$2:D$62,Code_Matrix!G$2:G$62)</f>
        <v>0</v>
      </c>
      <c r="H5" s="66" t="n">
        <f aca="false">SUMPRODUCT(Code_Matrix!D$2:D$62,Code_Matrix!H$2:H$62)</f>
        <v>1</v>
      </c>
      <c r="I5" s="66" t="n">
        <f aca="false">SUMPRODUCT(Code_Matrix!D$2:D$62,Code_Matrix!I$2:I$62)</f>
        <v>0</v>
      </c>
      <c r="J5" s="66" t="n">
        <f aca="false">SUMPRODUCT(Code_Matrix!D$2:D$62,Code_Matrix!J$2:J$62)</f>
        <v>1</v>
      </c>
      <c r="K5" s="66" t="n">
        <f aca="false">SUMPRODUCT(Code_Matrix!D$2:D$62,Code_Matrix!K$2:K$62)</f>
        <v>2</v>
      </c>
      <c r="L5" s="66" t="n">
        <f aca="false">SUMPRODUCT(Code_Matrix!D$2:D$62,Code_Matrix!L$2:L$62)</f>
        <v>0</v>
      </c>
      <c r="M5" s="66" t="n">
        <f aca="false">SUMPRODUCT(Code_Matrix!D$2:D$62,Code_Matrix!M$2:M$62)</f>
        <v>2</v>
      </c>
      <c r="N5" s="66" t="n">
        <f aca="false">SUMPRODUCT(Code_Matrix!D$2:D$62,Code_Matrix!N$2:N$62)</f>
        <v>1</v>
      </c>
      <c r="O5" s="66" t="n">
        <f aca="false">SUMPRODUCT(Code_Matrix!D$2:D$62,Code_Matrix!O$2:O$62)</f>
        <v>1</v>
      </c>
      <c r="P5" s="66" t="n">
        <f aca="false">SUMPRODUCT(Code_Matrix!D$2:D$62,Code_Matrix!P$2:P$62)</f>
        <v>2</v>
      </c>
      <c r="Q5" s="66" t="n">
        <f aca="false">SUMPRODUCT(Code_Matrix!D$2:D$62,Code_Matrix!Q$2:Q$62)</f>
        <v>2</v>
      </c>
      <c r="R5" s="66" t="n">
        <f aca="false">SUMPRODUCT(Code_Matrix!D$2:D$62,Code_Matrix!R$2:R$62)</f>
        <v>1</v>
      </c>
      <c r="S5" s="66" t="n">
        <f aca="false">SUMPRODUCT(Code_Matrix!D$2:D$62,Code_Matrix!S$2:S$62)</f>
        <v>0</v>
      </c>
      <c r="T5" s="66" t="n">
        <f aca="false">SUMPRODUCT(Code_Matrix!D$2:D$62,Code_Matrix!T$2:T$62)</f>
        <v>0</v>
      </c>
      <c r="U5" s="66" t="n">
        <f aca="false">SUMPRODUCT(Code_Matrix!D$2:D$62,Code_Matrix!U$2:U$62)</f>
        <v>0</v>
      </c>
      <c r="V5" s="66" t="n">
        <f aca="false">SUMPRODUCT(Code_Matrix!D$2:D$62,Code_Matrix!V$2:V$62)</f>
        <v>0</v>
      </c>
      <c r="W5" s="66" t="n">
        <f aca="false">SUMPRODUCT(Code_Matrix!D$2:D$62,Code_Matrix!W$2:W$62)</f>
        <v>0</v>
      </c>
      <c r="X5" s="66" t="n">
        <f aca="false">SUMPRODUCT(Code_Matrix!D$2:D$62,Code_Matrix!X$2:X$62)</f>
        <v>0</v>
      </c>
    </row>
    <row r="6" customFormat="false" ht="15" hidden="false" customHeight="true" outlineLevel="0" collapsed="false">
      <c r="A6" s="63" t="s">
        <v>97</v>
      </c>
      <c r="B6" s="66" t="n">
        <f aca="false">SUMPRODUCT(Code_Matrix!E$2:E$62,Code_Matrix!B$2:B$62)</f>
        <v>1</v>
      </c>
      <c r="C6" s="66" t="n">
        <f aca="false">SUMPRODUCT(Code_Matrix!E$2:E$62,Code_Matrix!C$2:C$62)</f>
        <v>1</v>
      </c>
      <c r="D6" s="66" t="n">
        <f aca="false">SUMPRODUCT(Code_Matrix!E$2:E$62,Code_Matrix!D$2:D$62)</f>
        <v>5</v>
      </c>
      <c r="E6" s="66" t="n">
        <f aca="false">SUMPRODUCT(Code_Matrix!E$2:E$62,Code_Matrix!E$2:E$62)</f>
        <v>11</v>
      </c>
      <c r="F6" s="66" t="n">
        <f aca="false">SUMPRODUCT(Code_Matrix!E$2:E$62,Code_Matrix!F$2:F$62)</f>
        <v>4</v>
      </c>
      <c r="G6" s="66" t="n">
        <f aca="false">SUMPRODUCT(Code_Matrix!E$2:E$62,Code_Matrix!G$2:G$62)</f>
        <v>1</v>
      </c>
      <c r="H6" s="66" t="n">
        <f aca="false">SUMPRODUCT(Code_Matrix!E$2:E$62,Code_Matrix!H$2:H$62)</f>
        <v>0</v>
      </c>
      <c r="I6" s="66" t="n">
        <f aca="false">SUMPRODUCT(Code_Matrix!E$2:E$62,Code_Matrix!I$2:I$62)</f>
        <v>0</v>
      </c>
      <c r="J6" s="66" t="n">
        <f aca="false">SUMPRODUCT(Code_Matrix!E$2:E$62,Code_Matrix!J$2:J$62)</f>
        <v>0</v>
      </c>
      <c r="K6" s="66" t="n">
        <f aca="false">SUMPRODUCT(Code_Matrix!E$2:E$62,Code_Matrix!K$2:K$62)</f>
        <v>2</v>
      </c>
      <c r="L6" s="66" t="n">
        <f aca="false">SUMPRODUCT(Code_Matrix!E$2:E$62,Code_Matrix!L$2:L$62)</f>
        <v>1</v>
      </c>
      <c r="M6" s="66" t="n">
        <f aca="false">SUMPRODUCT(Code_Matrix!E$2:E$62,Code_Matrix!M$2:M$62)</f>
        <v>2</v>
      </c>
      <c r="N6" s="66" t="n">
        <f aca="false">SUMPRODUCT(Code_Matrix!E$2:E$62,Code_Matrix!N$2:N$62)</f>
        <v>1</v>
      </c>
      <c r="O6" s="66" t="n">
        <f aca="false">SUMPRODUCT(Code_Matrix!E$2:E$62,Code_Matrix!O$2:O$62)</f>
        <v>1</v>
      </c>
      <c r="P6" s="66" t="n">
        <f aca="false">SUMPRODUCT(Code_Matrix!E$2:E$62,Code_Matrix!P$2:P$62)</f>
        <v>2</v>
      </c>
      <c r="Q6" s="66" t="n">
        <f aca="false">SUMPRODUCT(Code_Matrix!E$2:E$62,Code_Matrix!Q$2:Q$62)</f>
        <v>2</v>
      </c>
      <c r="R6" s="66" t="n">
        <f aca="false">SUMPRODUCT(Code_Matrix!E$2:E$62,Code_Matrix!R$2:R$62)</f>
        <v>0</v>
      </c>
      <c r="S6" s="66" t="n">
        <f aca="false">SUMPRODUCT(Code_Matrix!E$2:E$62,Code_Matrix!S$2:S$62)</f>
        <v>0</v>
      </c>
      <c r="T6" s="66" t="n">
        <f aca="false">SUMPRODUCT(Code_Matrix!E$2:E$62,Code_Matrix!T$2:T$62)</f>
        <v>1</v>
      </c>
      <c r="U6" s="66" t="n">
        <f aca="false">SUMPRODUCT(Code_Matrix!E$2:E$62,Code_Matrix!U$2:U$62)</f>
        <v>0</v>
      </c>
      <c r="V6" s="66" t="n">
        <f aca="false">SUMPRODUCT(Code_Matrix!E$2:E$62,Code_Matrix!V$2:V$62)</f>
        <v>0</v>
      </c>
      <c r="W6" s="66" t="n">
        <f aca="false">SUMPRODUCT(Code_Matrix!E$2:E$62,Code_Matrix!W$2:W$62)</f>
        <v>1</v>
      </c>
      <c r="X6" s="66" t="n">
        <f aca="false">SUMPRODUCT(Code_Matrix!E$2:E$62,Code_Matrix!X$2:X$62)</f>
        <v>0</v>
      </c>
    </row>
    <row r="7" customFormat="false" ht="15" hidden="false" customHeight="true" outlineLevel="0" collapsed="false">
      <c r="A7" s="63" t="s">
        <v>99</v>
      </c>
      <c r="B7" s="66" t="n">
        <f aca="false">SUMPRODUCT(Code_Matrix!F$2:F$62,Code_Matrix!B$2:B$62)</f>
        <v>1</v>
      </c>
      <c r="C7" s="66" t="n">
        <f aca="false">SUMPRODUCT(Code_Matrix!F$2:F$62,Code_Matrix!C$2:C$62)</f>
        <v>1</v>
      </c>
      <c r="D7" s="66" t="n">
        <f aca="false">SUMPRODUCT(Code_Matrix!F$2:F$62,Code_Matrix!D$2:D$62)</f>
        <v>2</v>
      </c>
      <c r="E7" s="66" t="n">
        <f aca="false">SUMPRODUCT(Code_Matrix!F$2:F$62,Code_Matrix!E$2:E$62)</f>
        <v>4</v>
      </c>
      <c r="F7" s="66" t="n">
        <f aca="false">SUMPRODUCT(Code_Matrix!F$2:F$62,Code_Matrix!F$2:F$62)</f>
        <v>7</v>
      </c>
      <c r="G7" s="66" t="n">
        <f aca="false">SUMPRODUCT(Code_Matrix!F$2:F$62,Code_Matrix!G$2:G$62)</f>
        <v>1</v>
      </c>
      <c r="H7" s="66" t="n">
        <f aca="false">SUMPRODUCT(Code_Matrix!F$2:F$62,Code_Matrix!H$2:H$62)</f>
        <v>0</v>
      </c>
      <c r="I7" s="66" t="n">
        <f aca="false">SUMPRODUCT(Code_Matrix!F$2:F$62,Code_Matrix!I$2:I$62)</f>
        <v>0</v>
      </c>
      <c r="J7" s="66" t="n">
        <f aca="false">SUMPRODUCT(Code_Matrix!F$2:F$62,Code_Matrix!J$2:J$62)</f>
        <v>0</v>
      </c>
      <c r="K7" s="66" t="n">
        <f aca="false">SUMPRODUCT(Code_Matrix!F$2:F$62,Code_Matrix!K$2:K$62)</f>
        <v>0</v>
      </c>
      <c r="L7" s="66" t="n">
        <f aca="false">SUMPRODUCT(Code_Matrix!F$2:F$62,Code_Matrix!L$2:L$62)</f>
        <v>0</v>
      </c>
      <c r="M7" s="66" t="n">
        <f aca="false">SUMPRODUCT(Code_Matrix!F$2:F$62,Code_Matrix!M$2:M$62)</f>
        <v>0</v>
      </c>
      <c r="N7" s="66" t="n">
        <f aca="false">SUMPRODUCT(Code_Matrix!F$2:F$62,Code_Matrix!N$2:N$62)</f>
        <v>0</v>
      </c>
      <c r="O7" s="66" t="n">
        <f aca="false">SUMPRODUCT(Code_Matrix!F$2:F$62,Code_Matrix!O$2:O$62)</f>
        <v>1</v>
      </c>
      <c r="P7" s="66" t="n">
        <f aca="false">SUMPRODUCT(Code_Matrix!F$2:F$62,Code_Matrix!P$2:P$62)</f>
        <v>2</v>
      </c>
      <c r="Q7" s="66" t="n">
        <f aca="false">SUMPRODUCT(Code_Matrix!F$2:F$62,Code_Matrix!Q$2:Q$62)</f>
        <v>1</v>
      </c>
      <c r="R7" s="66" t="n">
        <f aca="false">SUMPRODUCT(Code_Matrix!F$2:F$62,Code_Matrix!R$2:R$62)</f>
        <v>0</v>
      </c>
      <c r="S7" s="66" t="n">
        <f aca="false">SUMPRODUCT(Code_Matrix!F$2:F$62,Code_Matrix!S$2:S$62)</f>
        <v>0</v>
      </c>
      <c r="T7" s="66" t="n">
        <f aca="false">SUMPRODUCT(Code_Matrix!F$2:F$62,Code_Matrix!T$2:T$62)</f>
        <v>1</v>
      </c>
      <c r="U7" s="66" t="n">
        <f aca="false">SUMPRODUCT(Code_Matrix!F$2:F$62,Code_Matrix!U$2:U$62)</f>
        <v>1</v>
      </c>
      <c r="V7" s="66" t="n">
        <f aca="false">SUMPRODUCT(Code_Matrix!F$2:F$62,Code_Matrix!V$2:V$62)</f>
        <v>0</v>
      </c>
      <c r="W7" s="66" t="n">
        <f aca="false">SUMPRODUCT(Code_Matrix!F$2:F$62,Code_Matrix!W$2:W$62)</f>
        <v>1</v>
      </c>
      <c r="X7" s="66" t="n">
        <f aca="false">SUMPRODUCT(Code_Matrix!F$2:F$62,Code_Matrix!X$2:X$62)</f>
        <v>0</v>
      </c>
    </row>
    <row r="8" customFormat="false" ht="15" hidden="false" customHeight="true" outlineLevel="0" collapsed="false">
      <c r="A8" s="63" t="s">
        <v>101</v>
      </c>
      <c r="B8" s="66" t="n">
        <f aca="false">SUMPRODUCT(Code_Matrix!G$2:G$62,Code_Matrix!B$2:B$62)</f>
        <v>2</v>
      </c>
      <c r="C8" s="66" t="n">
        <f aca="false">SUMPRODUCT(Code_Matrix!G$2:G$62,Code_Matrix!C$2:C$62)</f>
        <v>2</v>
      </c>
      <c r="D8" s="66" t="n">
        <f aca="false">SUMPRODUCT(Code_Matrix!G$2:G$62,Code_Matrix!D$2:D$62)</f>
        <v>0</v>
      </c>
      <c r="E8" s="66" t="n">
        <f aca="false">SUMPRODUCT(Code_Matrix!G$2:G$62,Code_Matrix!E$2:E$62)</f>
        <v>1</v>
      </c>
      <c r="F8" s="66" t="n">
        <f aca="false">SUMPRODUCT(Code_Matrix!G$2:G$62,Code_Matrix!F$2:F$62)</f>
        <v>1</v>
      </c>
      <c r="G8" s="66" t="n">
        <f aca="false">SUMPRODUCT(Code_Matrix!G$2:G$62,Code_Matrix!G$2:G$62)</f>
        <v>2</v>
      </c>
      <c r="H8" s="66" t="n">
        <f aca="false">SUMPRODUCT(Code_Matrix!G$2:G$62,Code_Matrix!H$2:H$62)</f>
        <v>0</v>
      </c>
      <c r="I8" s="66" t="n">
        <f aca="false">SUMPRODUCT(Code_Matrix!G$2:G$62,Code_Matrix!I$2:I$62)</f>
        <v>0</v>
      </c>
      <c r="J8" s="66" t="n">
        <f aca="false">SUMPRODUCT(Code_Matrix!G$2:G$62,Code_Matrix!J$2:J$62)</f>
        <v>0</v>
      </c>
      <c r="K8" s="66" t="n">
        <f aca="false">SUMPRODUCT(Code_Matrix!G$2:G$62,Code_Matrix!K$2:K$62)</f>
        <v>0</v>
      </c>
      <c r="L8" s="66" t="n">
        <f aca="false">SUMPRODUCT(Code_Matrix!G$2:G$62,Code_Matrix!L$2:L$62)</f>
        <v>0</v>
      </c>
      <c r="M8" s="66" t="n">
        <f aca="false">SUMPRODUCT(Code_Matrix!G$2:G$62,Code_Matrix!M$2:M$62)</f>
        <v>0</v>
      </c>
      <c r="N8" s="66" t="n">
        <f aca="false">SUMPRODUCT(Code_Matrix!G$2:G$62,Code_Matrix!N$2:N$62)</f>
        <v>0</v>
      </c>
      <c r="O8" s="66" t="n">
        <f aca="false">SUMPRODUCT(Code_Matrix!G$2:G$62,Code_Matrix!O$2:O$62)</f>
        <v>0</v>
      </c>
      <c r="P8" s="66" t="n">
        <f aca="false">SUMPRODUCT(Code_Matrix!G$2:G$62,Code_Matrix!P$2:P$62)</f>
        <v>0</v>
      </c>
      <c r="Q8" s="66" t="n">
        <f aca="false">SUMPRODUCT(Code_Matrix!G$2:G$62,Code_Matrix!Q$2:Q$62)</f>
        <v>0</v>
      </c>
      <c r="R8" s="66" t="n">
        <f aca="false">SUMPRODUCT(Code_Matrix!G$2:G$62,Code_Matrix!R$2:R$62)</f>
        <v>0</v>
      </c>
      <c r="S8" s="66" t="n">
        <f aca="false">SUMPRODUCT(Code_Matrix!G$2:G$62,Code_Matrix!S$2:S$62)</f>
        <v>0</v>
      </c>
      <c r="T8" s="66" t="n">
        <f aca="false">SUMPRODUCT(Code_Matrix!G$2:G$62,Code_Matrix!T$2:T$62)</f>
        <v>0</v>
      </c>
      <c r="U8" s="66" t="n">
        <f aca="false">SUMPRODUCT(Code_Matrix!G$2:G$62,Code_Matrix!U$2:U$62)</f>
        <v>0</v>
      </c>
      <c r="V8" s="66" t="n">
        <f aca="false">SUMPRODUCT(Code_Matrix!G$2:G$62,Code_Matrix!V$2:V$62)</f>
        <v>0</v>
      </c>
      <c r="W8" s="66" t="n">
        <f aca="false">SUMPRODUCT(Code_Matrix!G$2:G$62,Code_Matrix!W$2:W$62)</f>
        <v>0</v>
      </c>
      <c r="X8" s="66" t="n">
        <f aca="false">SUMPRODUCT(Code_Matrix!G$2:G$62,Code_Matrix!X$2:X$62)</f>
        <v>0</v>
      </c>
    </row>
    <row r="9" customFormat="false" ht="15" hidden="false" customHeight="true" outlineLevel="0" collapsed="false">
      <c r="A9" s="63" t="s">
        <v>104</v>
      </c>
      <c r="B9" s="66" t="n">
        <f aca="false">SUMPRODUCT(Code_Matrix!H$2:H$62,Code_Matrix!B$2:B$62)</f>
        <v>1</v>
      </c>
      <c r="C9" s="66" t="n">
        <f aca="false">SUMPRODUCT(Code_Matrix!H$2:H$62,Code_Matrix!C$2:C$62)</f>
        <v>1</v>
      </c>
      <c r="D9" s="66" t="n">
        <f aca="false">SUMPRODUCT(Code_Matrix!H$2:H$62,Code_Matrix!D$2:D$62)</f>
        <v>1</v>
      </c>
      <c r="E9" s="66" t="n">
        <f aca="false">SUMPRODUCT(Code_Matrix!H$2:H$62,Code_Matrix!E$2:E$62)</f>
        <v>0</v>
      </c>
      <c r="F9" s="66" t="n">
        <f aca="false">SUMPRODUCT(Code_Matrix!H$2:H$62,Code_Matrix!F$2:F$62)</f>
        <v>0</v>
      </c>
      <c r="G9" s="66" t="n">
        <f aca="false">SUMPRODUCT(Code_Matrix!H$2:H$62,Code_Matrix!G$2:G$62)</f>
        <v>0</v>
      </c>
      <c r="H9" s="66" t="n">
        <f aca="false">SUMPRODUCT(Code_Matrix!H$2:H$62,Code_Matrix!H$2:H$62)</f>
        <v>4</v>
      </c>
      <c r="I9" s="66" t="n">
        <f aca="false">SUMPRODUCT(Code_Matrix!H$2:H$62,Code_Matrix!I$2:I$62)</f>
        <v>1</v>
      </c>
      <c r="J9" s="66" t="n">
        <f aca="false">SUMPRODUCT(Code_Matrix!H$2:H$62,Code_Matrix!J$2:J$62)</f>
        <v>1</v>
      </c>
      <c r="K9" s="66" t="n">
        <f aca="false">SUMPRODUCT(Code_Matrix!H$2:H$62,Code_Matrix!K$2:K$62)</f>
        <v>1</v>
      </c>
      <c r="L9" s="66" t="n">
        <f aca="false">SUMPRODUCT(Code_Matrix!H$2:H$62,Code_Matrix!L$2:L$62)</f>
        <v>0</v>
      </c>
      <c r="M9" s="66" t="n">
        <f aca="false">SUMPRODUCT(Code_Matrix!H$2:H$62,Code_Matrix!M$2:M$62)</f>
        <v>0</v>
      </c>
      <c r="N9" s="66" t="n">
        <f aca="false">SUMPRODUCT(Code_Matrix!H$2:H$62,Code_Matrix!N$2:N$62)</f>
        <v>0</v>
      </c>
      <c r="O9" s="66" t="n">
        <f aca="false">SUMPRODUCT(Code_Matrix!H$2:H$62,Code_Matrix!O$2:O$62)</f>
        <v>0</v>
      </c>
      <c r="P9" s="66" t="n">
        <f aca="false">SUMPRODUCT(Code_Matrix!H$2:H$62,Code_Matrix!P$2:P$62)</f>
        <v>1</v>
      </c>
      <c r="Q9" s="66" t="n">
        <f aca="false">SUMPRODUCT(Code_Matrix!H$2:H$62,Code_Matrix!Q$2:Q$62)</f>
        <v>0</v>
      </c>
      <c r="R9" s="66" t="n">
        <f aca="false">SUMPRODUCT(Code_Matrix!H$2:H$62,Code_Matrix!R$2:R$62)</f>
        <v>0</v>
      </c>
      <c r="S9" s="66" t="n">
        <f aca="false">SUMPRODUCT(Code_Matrix!H$2:H$62,Code_Matrix!S$2:S$62)</f>
        <v>0</v>
      </c>
      <c r="T9" s="66" t="n">
        <f aca="false">SUMPRODUCT(Code_Matrix!H$2:H$62,Code_Matrix!T$2:T$62)</f>
        <v>0</v>
      </c>
      <c r="U9" s="66" t="n">
        <f aca="false">SUMPRODUCT(Code_Matrix!H$2:H$62,Code_Matrix!U$2:U$62)</f>
        <v>0</v>
      </c>
      <c r="V9" s="66" t="n">
        <f aca="false">SUMPRODUCT(Code_Matrix!H$2:H$62,Code_Matrix!V$2:V$62)</f>
        <v>0</v>
      </c>
      <c r="W9" s="66" t="n">
        <f aca="false">SUMPRODUCT(Code_Matrix!H$2:H$62,Code_Matrix!W$2:W$62)</f>
        <v>2</v>
      </c>
      <c r="X9" s="66" t="n">
        <f aca="false">SUMPRODUCT(Code_Matrix!H$2:H$62,Code_Matrix!X$2:X$62)</f>
        <v>0</v>
      </c>
    </row>
    <row r="10" customFormat="false" ht="15" hidden="false" customHeight="true" outlineLevel="0" collapsed="false">
      <c r="A10" s="63" t="s">
        <v>106</v>
      </c>
      <c r="B10" s="66" t="n">
        <f aca="false">SUMPRODUCT(Code_Matrix!I$2:I$62,Code_Matrix!B$2:B$62)</f>
        <v>0</v>
      </c>
      <c r="C10" s="66" t="n">
        <f aca="false">SUMPRODUCT(Code_Matrix!I$2:I$62,Code_Matrix!C$2:C$62)</f>
        <v>0</v>
      </c>
      <c r="D10" s="66" t="n">
        <f aca="false">SUMPRODUCT(Code_Matrix!I$2:I$62,Code_Matrix!D$2:D$62)</f>
        <v>0</v>
      </c>
      <c r="E10" s="66" t="n">
        <f aca="false">SUMPRODUCT(Code_Matrix!I$2:I$62,Code_Matrix!E$2:E$62)</f>
        <v>0</v>
      </c>
      <c r="F10" s="66" t="n">
        <f aca="false">SUMPRODUCT(Code_Matrix!I$2:I$62,Code_Matrix!F$2:F$62)</f>
        <v>0</v>
      </c>
      <c r="G10" s="66" t="n">
        <f aca="false">SUMPRODUCT(Code_Matrix!I$2:I$62,Code_Matrix!G$2:G$62)</f>
        <v>0</v>
      </c>
      <c r="H10" s="66" t="n">
        <f aca="false">SUMPRODUCT(Code_Matrix!I$2:I$62,Code_Matrix!H$2:H$62)</f>
        <v>1</v>
      </c>
      <c r="I10" s="66" t="n">
        <f aca="false">SUMPRODUCT(Code_Matrix!I$2:I$62,Code_Matrix!I$2:I$62)</f>
        <v>1</v>
      </c>
      <c r="J10" s="66" t="n">
        <f aca="false">SUMPRODUCT(Code_Matrix!I$2:I$62,Code_Matrix!J$2:J$62)</f>
        <v>0</v>
      </c>
      <c r="K10" s="66" t="n">
        <f aca="false">SUMPRODUCT(Code_Matrix!I$2:I$62,Code_Matrix!K$2:K$62)</f>
        <v>0</v>
      </c>
      <c r="L10" s="66" t="n">
        <f aca="false">SUMPRODUCT(Code_Matrix!I$2:I$62,Code_Matrix!L$2:L$62)</f>
        <v>0</v>
      </c>
      <c r="M10" s="66" t="n">
        <f aca="false">SUMPRODUCT(Code_Matrix!I$2:I$62,Code_Matrix!M$2:M$62)</f>
        <v>0</v>
      </c>
      <c r="N10" s="66" t="n">
        <f aca="false">SUMPRODUCT(Code_Matrix!I$2:I$62,Code_Matrix!N$2:N$62)</f>
        <v>0</v>
      </c>
      <c r="O10" s="66" t="n">
        <f aca="false">SUMPRODUCT(Code_Matrix!I$2:I$62,Code_Matrix!O$2:O$62)</f>
        <v>0</v>
      </c>
      <c r="P10" s="66" t="n">
        <f aca="false">SUMPRODUCT(Code_Matrix!I$2:I$62,Code_Matrix!P$2:P$62)</f>
        <v>0</v>
      </c>
      <c r="Q10" s="66" t="n">
        <f aca="false">SUMPRODUCT(Code_Matrix!I$2:I$62,Code_Matrix!Q$2:Q$62)</f>
        <v>0</v>
      </c>
      <c r="R10" s="66" t="n">
        <f aca="false">SUMPRODUCT(Code_Matrix!I$2:I$62,Code_Matrix!R$2:R$62)</f>
        <v>0</v>
      </c>
      <c r="S10" s="66" t="n">
        <f aca="false">SUMPRODUCT(Code_Matrix!I$2:I$62,Code_Matrix!S$2:S$62)</f>
        <v>0</v>
      </c>
      <c r="T10" s="66" t="n">
        <f aca="false">SUMPRODUCT(Code_Matrix!I$2:I$62,Code_Matrix!T$2:T$62)</f>
        <v>0</v>
      </c>
      <c r="U10" s="66" t="n">
        <f aca="false">SUMPRODUCT(Code_Matrix!I$2:I$62,Code_Matrix!U$2:U$62)</f>
        <v>0</v>
      </c>
      <c r="V10" s="66" t="n">
        <f aca="false">SUMPRODUCT(Code_Matrix!I$2:I$62,Code_Matrix!V$2:V$62)</f>
        <v>0</v>
      </c>
      <c r="W10" s="66" t="n">
        <f aca="false">SUMPRODUCT(Code_Matrix!I$2:I$62,Code_Matrix!W$2:W$62)</f>
        <v>1</v>
      </c>
      <c r="X10" s="66" t="n">
        <f aca="false">SUMPRODUCT(Code_Matrix!I$2:I$62,Code_Matrix!X$2:X$62)</f>
        <v>0</v>
      </c>
    </row>
    <row r="11" customFormat="false" ht="15" hidden="false" customHeight="true" outlineLevel="0" collapsed="false">
      <c r="A11" s="63" t="s">
        <v>108</v>
      </c>
      <c r="B11" s="66" t="n">
        <f aca="false">SUMPRODUCT(Code_Matrix!J$2:J$62,Code_Matrix!B$2:B$62)</f>
        <v>3</v>
      </c>
      <c r="C11" s="66" t="n">
        <f aca="false">SUMPRODUCT(Code_Matrix!J$2:J$62,Code_Matrix!C$2:C$62)</f>
        <v>0</v>
      </c>
      <c r="D11" s="66" t="n">
        <f aca="false">SUMPRODUCT(Code_Matrix!J$2:J$62,Code_Matrix!D$2:D$62)</f>
        <v>1</v>
      </c>
      <c r="E11" s="66" t="n">
        <f aca="false">SUMPRODUCT(Code_Matrix!J$2:J$62,Code_Matrix!E$2:E$62)</f>
        <v>0</v>
      </c>
      <c r="F11" s="66" t="n">
        <f aca="false">SUMPRODUCT(Code_Matrix!J$2:J$62,Code_Matrix!F$2:F$62)</f>
        <v>0</v>
      </c>
      <c r="G11" s="66" t="n">
        <f aca="false">SUMPRODUCT(Code_Matrix!J$2:J$62,Code_Matrix!G$2:G$62)</f>
        <v>0</v>
      </c>
      <c r="H11" s="66" t="n">
        <f aca="false">SUMPRODUCT(Code_Matrix!J$2:J$62,Code_Matrix!H$2:H$62)</f>
        <v>1</v>
      </c>
      <c r="I11" s="66" t="n">
        <f aca="false">SUMPRODUCT(Code_Matrix!J$2:J$62,Code_Matrix!I$2:I$62)</f>
        <v>0</v>
      </c>
      <c r="J11" s="66" t="n">
        <f aca="false">SUMPRODUCT(Code_Matrix!J$2:J$62,Code_Matrix!J$2:J$62)</f>
        <v>8</v>
      </c>
      <c r="K11" s="66" t="n">
        <f aca="false">SUMPRODUCT(Code_Matrix!J$2:J$62,Code_Matrix!K$2:K$62)</f>
        <v>5</v>
      </c>
      <c r="L11" s="66" t="n">
        <f aca="false">SUMPRODUCT(Code_Matrix!J$2:J$62,Code_Matrix!L$2:L$62)</f>
        <v>0</v>
      </c>
      <c r="M11" s="66" t="n">
        <f aca="false">SUMPRODUCT(Code_Matrix!J$2:J$62,Code_Matrix!M$2:M$62)</f>
        <v>1</v>
      </c>
      <c r="N11" s="66" t="n">
        <f aca="false">SUMPRODUCT(Code_Matrix!J$2:J$62,Code_Matrix!N$2:N$62)</f>
        <v>1</v>
      </c>
      <c r="O11" s="66" t="n">
        <f aca="false">SUMPRODUCT(Code_Matrix!J$2:J$62,Code_Matrix!O$2:O$62)</f>
        <v>2</v>
      </c>
      <c r="P11" s="66" t="n">
        <f aca="false">SUMPRODUCT(Code_Matrix!J$2:J$62,Code_Matrix!P$2:P$62)</f>
        <v>1</v>
      </c>
      <c r="Q11" s="66" t="n">
        <f aca="false">SUMPRODUCT(Code_Matrix!J$2:J$62,Code_Matrix!Q$2:Q$62)</f>
        <v>0</v>
      </c>
      <c r="R11" s="66" t="n">
        <f aca="false">SUMPRODUCT(Code_Matrix!J$2:J$62,Code_Matrix!R$2:R$62)</f>
        <v>0</v>
      </c>
      <c r="S11" s="66" t="n">
        <f aca="false">SUMPRODUCT(Code_Matrix!J$2:J$62,Code_Matrix!S$2:S$62)</f>
        <v>1</v>
      </c>
      <c r="T11" s="66" t="n">
        <f aca="false">SUMPRODUCT(Code_Matrix!J$2:J$62,Code_Matrix!T$2:T$62)</f>
        <v>1</v>
      </c>
      <c r="U11" s="66" t="n">
        <f aca="false">SUMPRODUCT(Code_Matrix!J$2:J$62,Code_Matrix!U$2:U$62)</f>
        <v>0</v>
      </c>
      <c r="V11" s="66" t="n">
        <f aca="false">SUMPRODUCT(Code_Matrix!J$2:J$62,Code_Matrix!V$2:V$62)</f>
        <v>1</v>
      </c>
      <c r="W11" s="66" t="n">
        <f aca="false">SUMPRODUCT(Code_Matrix!J$2:J$62,Code_Matrix!W$2:W$62)</f>
        <v>4</v>
      </c>
      <c r="X11" s="66" t="n">
        <f aca="false">SUMPRODUCT(Code_Matrix!J$2:J$62,Code_Matrix!X$2:X$62)</f>
        <v>0</v>
      </c>
    </row>
    <row r="12" customFormat="false" ht="15" hidden="false" customHeight="true" outlineLevel="0" collapsed="false">
      <c r="A12" s="63" t="s">
        <v>110</v>
      </c>
      <c r="B12" s="66" t="n">
        <f aca="false">SUMPRODUCT(Code_Matrix!K$2:K$62,Code_Matrix!B$2:B$62)</f>
        <v>2</v>
      </c>
      <c r="C12" s="66" t="n">
        <f aca="false">SUMPRODUCT(Code_Matrix!K$2:K$62,Code_Matrix!C$2:C$62)</f>
        <v>0</v>
      </c>
      <c r="D12" s="66" t="n">
        <f aca="false">SUMPRODUCT(Code_Matrix!K$2:K$62,Code_Matrix!D$2:D$62)</f>
        <v>2</v>
      </c>
      <c r="E12" s="66" t="n">
        <f aca="false">SUMPRODUCT(Code_Matrix!K$2:K$62,Code_Matrix!E$2:E$62)</f>
        <v>2</v>
      </c>
      <c r="F12" s="66" t="n">
        <f aca="false">SUMPRODUCT(Code_Matrix!K$2:K$62,Code_Matrix!F$2:F$62)</f>
        <v>0</v>
      </c>
      <c r="G12" s="66" t="n">
        <f aca="false">SUMPRODUCT(Code_Matrix!K$2:K$62,Code_Matrix!G$2:G$62)</f>
        <v>0</v>
      </c>
      <c r="H12" s="66" t="n">
        <f aca="false">SUMPRODUCT(Code_Matrix!K$2:K$62,Code_Matrix!H$2:H$62)</f>
        <v>1</v>
      </c>
      <c r="I12" s="66" t="n">
        <f aca="false">SUMPRODUCT(Code_Matrix!K$2:K$62,Code_Matrix!I$2:I$62)</f>
        <v>0</v>
      </c>
      <c r="J12" s="66" t="n">
        <f aca="false">SUMPRODUCT(Code_Matrix!K$2:K$62,Code_Matrix!J$2:J$62)</f>
        <v>5</v>
      </c>
      <c r="K12" s="66" t="n">
        <f aca="false">SUMPRODUCT(Code_Matrix!K$2:K$62,Code_Matrix!K$2:K$62)</f>
        <v>8</v>
      </c>
      <c r="L12" s="66" t="n">
        <f aca="false">SUMPRODUCT(Code_Matrix!K$2:K$62,Code_Matrix!L$2:L$62)</f>
        <v>2</v>
      </c>
      <c r="M12" s="66" t="n">
        <f aca="false">SUMPRODUCT(Code_Matrix!K$2:K$62,Code_Matrix!M$2:M$62)</f>
        <v>0</v>
      </c>
      <c r="N12" s="66" t="n">
        <f aca="false">SUMPRODUCT(Code_Matrix!K$2:K$62,Code_Matrix!N$2:N$62)</f>
        <v>0</v>
      </c>
      <c r="O12" s="66" t="n">
        <f aca="false">SUMPRODUCT(Code_Matrix!K$2:K$62,Code_Matrix!O$2:O$62)</f>
        <v>2</v>
      </c>
      <c r="P12" s="66" t="n">
        <f aca="false">SUMPRODUCT(Code_Matrix!K$2:K$62,Code_Matrix!P$2:P$62)</f>
        <v>1</v>
      </c>
      <c r="Q12" s="66" t="n">
        <f aca="false">SUMPRODUCT(Code_Matrix!K$2:K$62,Code_Matrix!Q$2:Q$62)</f>
        <v>0</v>
      </c>
      <c r="R12" s="66" t="n">
        <f aca="false">SUMPRODUCT(Code_Matrix!K$2:K$62,Code_Matrix!R$2:R$62)</f>
        <v>0</v>
      </c>
      <c r="S12" s="66" t="n">
        <f aca="false">SUMPRODUCT(Code_Matrix!K$2:K$62,Code_Matrix!S$2:S$62)</f>
        <v>1</v>
      </c>
      <c r="T12" s="66" t="n">
        <f aca="false">SUMPRODUCT(Code_Matrix!K$2:K$62,Code_Matrix!T$2:T$62)</f>
        <v>1</v>
      </c>
      <c r="U12" s="66" t="n">
        <f aca="false">SUMPRODUCT(Code_Matrix!K$2:K$62,Code_Matrix!U$2:U$62)</f>
        <v>0</v>
      </c>
      <c r="V12" s="66" t="n">
        <f aca="false">SUMPRODUCT(Code_Matrix!K$2:K$62,Code_Matrix!V$2:V$62)</f>
        <v>0</v>
      </c>
      <c r="W12" s="66" t="n">
        <f aca="false">SUMPRODUCT(Code_Matrix!K$2:K$62,Code_Matrix!W$2:W$62)</f>
        <v>1</v>
      </c>
      <c r="X12" s="66" t="n">
        <f aca="false">SUMPRODUCT(Code_Matrix!K$2:K$62,Code_Matrix!X$2:X$62)</f>
        <v>0</v>
      </c>
    </row>
    <row r="13" customFormat="false" ht="15" hidden="false" customHeight="true" outlineLevel="0" collapsed="false">
      <c r="A13" s="63" t="s">
        <v>112</v>
      </c>
      <c r="B13" s="66" t="n">
        <f aca="false">SUMPRODUCT(Code_Matrix!L$2:L$62,Code_Matrix!B$2:B$62)</f>
        <v>2</v>
      </c>
      <c r="C13" s="66" t="n">
        <f aca="false">SUMPRODUCT(Code_Matrix!L$2:L$62,Code_Matrix!C$2:C$62)</f>
        <v>0</v>
      </c>
      <c r="D13" s="66" t="n">
        <f aca="false">SUMPRODUCT(Code_Matrix!L$2:L$62,Code_Matrix!D$2:D$62)</f>
        <v>0</v>
      </c>
      <c r="E13" s="66" t="n">
        <f aca="false">SUMPRODUCT(Code_Matrix!L$2:L$62,Code_Matrix!E$2:E$62)</f>
        <v>1</v>
      </c>
      <c r="F13" s="66" t="n">
        <f aca="false">SUMPRODUCT(Code_Matrix!L$2:L$62,Code_Matrix!F$2:F$62)</f>
        <v>0</v>
      </c>
      <c r="G13" s="66" t="n">
        <f aca="false">SUMPRODUCT(Code_Matrix!L$2:L$62,Code_Matrix!G$2:G$62)</f>
        <v>0</v>
      </c>
      <c r="H13" s="66" t="n">
        <f aca="false">SUMPRODUCT(Code_Matrix!L$2:L$62,Code_Matrix!H$2:H$62)</f>
        <v>0</v>
      </c>
      <c r="I13" s="66" t="n">
        <f aca="false">SUMPRODUCT(Code_Matrix!L$2:L$62,Code_Matrix!I$2:I$62)</f>
        <v>0</v>
      </c>
      <c r="J13" s="66" t="n">
        <f aca="false">SUMPRODUCT(Code_Matrix!L$2:L$62,Code_Matrix!J$2:J$62)</f>
        <v>0</v>
      </c>
      <c r="K13" s="66" t="n">
        <f aca="false">SUMPRODUCT(Code_Matrix!L$2:L$62,Code_Matrix!K$2:K$62)</f>
        <v>2</v>
      </c>
      <c r="L13" s="66" t="n">
        <f aca="false">SUMPRODUCT(Code_Matrix!L$2:L$62,Code_Matrix!L$2:L$62)</f>
        <v>4</v>
      </c>
      <c r="M13" s="66" t="n">
        <f aca="false">SUMPRODUCT(Code_Matrix!L$2:L$62,Code_Matrix!M$2:M$62)</f>
        <v>0</v>
      </c>
      <c r="N13" s="66" t="n">
        <f aca="false">SUMPRODUCT(Code_Matrix!L$2:L$62,Code_Matrix!N$2:N$62)</f>
        <v>0</v>
      </c>
      <c r="O13" s="66" t="n">
        <f aca="false">SUMPRODUCT(Code_Matrix!L$2:L$62,Code_Matrix!O$2:O$62)</f>
        <v>1</v>
      </c>
      <c r="P13" s="66" t="n">
        <f aca="false">SUMPRODUCT(Code_Matrix!L$2:L$62,Code_Matrix!P$2:P$62)</f>
        <v>0</v>
      </c>
      <c r="Q13" s="66" t="n">
        <f aca="false">SUMPRODUCT(Code_Matrix!L$2:L$62,Code_Matrix!Q$2:Q$62)</f>
        <v>0</v>
      </c>
      <c r="R13" s="66" t="n">
        <f aca="false">SUMPRODUCT(Code_Matrix!L$2:L$62,Code_Matrix!R$2:R$62)</f>
        <v>2</v>
      </c>
      <c r="S13" s="66" t="n">
        <f aca="false">SUMPRODUCT(Code_Matrix!L$2:L$62,Code_Matrix!S$2:S$62)</f>
        <v>0</v>
      </c>
      <c r="T13" s="66" t="n">
        <f aca="false">SUMPRODUCT(Code_Matrix!L$2:L$62,Code_Matrix!T$2:T$62)</f>
        <v>0</v>
      </c>
      <c r="U13" s="66" t="n">
        <f aca="false">SUMPRODUCT(Code_Matrix!L$2:L$62,Code_Matrix!U$2:U$62)</f>
        <v>0</v>
      </c>
      <c r="V13" s="66" t="n">
        <f aca="false">SUMPRODUCT(Code_Matrix!L$2:L$62,Code_Matrix!V$2:V$62)</f>
        <v>0</v>
      </c>
      <c r="W13" s="66" t="n">
        <f aca="false">SUMPRODUCT(Code_Matrix!L$2:L$62,Code_Matrix!W$2:W$62)</f>
        <v>2</v>
      </c>
      <c r="X13" s="66" t="n">
        <f aca="false">SUMPRODUCT(Code_Matrix!L$2:L$62,Code_Matrix!X$2:X$62)</f>
        <v>1</v>
      </c>
    </row>
    <row r="14" customFormat="false" ht="15" hidden="false" customHeight="true" outlineLevel="0" collapsed="false">
      <c r="A14" s="63" t="s">
        <v>114</v>
      </c>
      <c r="B14" s="66" t="n">
        <f aca="false">SUMPRODUCT(Code_Matrix!M$2:M$62,Code_Matrix!B$2:B$62)</f>
        <v>1</v>
      </c>
      <c r="C14" s="66" t="n">
        <f aca="false">SUMPRODUCT(Code_Matrix!M$2:M$62,Code_Matrix!C$2:C$62)</f>
        <v>0</v>
      </c>
      <c r="D14" s="66" t="n">
        <f aca="false">SUMPRODUCT(Code_Matrix!M$2:M$62,Code_Matrix!D$2:D$62)</f>
        <v>2</v>
      </c>
      <c r="E14" s="66" t="n">
        <f aca="false">SUMPRODUCT(Code_Matrix!M$2:M$62,Code_Matrix!E$2:E$62)</f>
        <v>2</v>
      </c>
      <c r="F14" s="66" t="n">
        <f aca="false">SUMPRODUCT(Code_Matrix!M$2:M$62,Code_Matrix!F$2:F$62)</f>
        <v>0</v>
      </c>
      <c r="G14" s="66" t="n">
        <f aca="false">SUMPRODUCT(Code_Matrix!M$2:M$62,Code_Matrix!G$2:G$62)</f>
        <v>0</v>
      </c>
      <c r="H14" s="66" t="n">
        <f aca="false">SUMPRODUCT(Code_Matrix!M$2:M$62,Code_Matrix!H$2:H$62)</f>
        <v>0</v>
      </c>
      <c r="I14" s="66" t="n">
        <f aca="false">SUMPRODUCT(Code_Matrix!M$2:M$62,Code_Matrix!I$2:I$62)</f>
        <v>0</v>
      </c>
      <c r="J14" s="66" t="n">
        <f aca="false">SUMPRODUCT(Code_Matrix!M$2:M$62,Code_Matrix!J$2:J$62)</f>
        <v>1</v>
      </c>
      <c r="K14" s="66" t="n">
        <f aca="false">SUMPRODUCT(Code_Matrix!M$2:M$62,Code_Matrix!K$2:K$62)</f>
        <v>0</v>
      </c>
      <c r="L14" s="66" t="n">
        <f aca="false">SUMPRODUCT(Code_Matrix!M$2:M$62,Code_Matrix!L$2:L$62)</f>
        <v>0</v>
      </c>
      <c r="M14" s="66" t="n">
        <f aca="false">SUMPRODUCT(Code_Matrix!M$2:M$62,Code_Matrix!M$2:M$62)</f>
        <v>5</v>
      </c>
      <c r="N14" s="66" t="n">
        <f aca="false">SUMPRODUCT(Code_Matrix!M$2:M$62,Code_Matrix!N$2:N$62)</f>
        <v>1</v>
      </c>
      <c r="O14" s="66" t="n">
        <f aca="false">SUMPRODUCT(Code_Matrix!M$2:M$62,Code_Matrix!O$2:O$62)</f>
        <v>1</v>
      </c>
      <c r="P14" s="66" t="n">
        <f aca="false">SUMPRODUCT(Code_Matrix!M$2:M$62,Code_Matrix!P$2:P$62)</f>
        <v>0</v>
      </c>
      <c r="Q14" s="66" t="n">
        <f aca="false">SUMPRODUCT(Code_Matrix!M$2:M$62,Code_Matrix!Q$2:Q$62)</f>
        <v>1</v>
      </c>
      <c r="R14" s="66" t="n">
        <f aca="false">SUMPRODUCT(Code_Matrix!M$2:M$62,Code_Matrix!R$2:R$62)</f>
        <v>0</v>
      </c>
      <c r="S14" s="66" t="n">
        <f aca="false">SUMPRODUCT(Code_Matrix!M$2:M$62,Code_Matrix!S$2:S$62)</f>
        <v>0</v>
      </c>
      <c r="T14" s="66" t="n">
        <f aca="false">SUMPRODUCT(Code_Matrix!M$2:M$62,Code_Matrix!T$2:T$62)</f>
        <v>0</v>
      </c>
      <c r="U14" s="66" t="n">
        <f aca="false">SUMPRODUCT(Code_Matrix!M$2:M$62,Code_Matrix!U$2:U$62)</f>
        <v>0</v>
      </c>
      <c r="V14" s="66" t="n">
        <f aca="false">SUMPRODUCT(Code_Matrix!M$2:M$62,Code_Matrix!V$2:V$62)</f>
        <v>0</v>
      </c>
      <c r="W14" s="66" t="n">
        <f aca="false">SUMPRODUCT(Code_Matrix!M$2:M$62,Code_Matrix!W$2:W$62)</f>
        <v>2</v>
      </c>
      <c r="X14" s="66" t="n">
        <f aca="false">SUMPRODUCT(Code_Matrix!M$2:M$62,Code_Matrix!X$2:X$62)</f>
        <v>0</v>
      </c>
    </row>
    <row r="15" customFormat="false" ht="15" hidden="false" customHeight="true" outlineLevel="0" collapsed="false">
      <c r="A15" s="63" t="s">
        <v>116</v>
      </c>
      <c r="B15" s="66" t="n">
        <f aca="false">SUMPRODUCT(Code_Matrix!N$2:N$62,Code_Matrix!B$2:B$62)</f>
        <v>2</v>
      </c>
      <c r="C15" s="66" t="n">
        <f aca="false">SUMPRODUCT(Code_Matrix!N$2:N$62,Code_Matrix!C$2:C$62)</f>
        <v>0</v>
      </c>
      <c r="D15" s="66" t="n">
        <f aca="false">SUMPRODUCT(Code_Matrix!N$2:N$62,Code_Matrix!D$2:D$62)</f>
        <v>1</v>
      </c>
      <c r="E15" s="66" t="n">
        <f aca="false">SUMPRODUCT(Code_Matrix!N$2:N$62,Code_Matrix!E$2:E$62)</f>
        <v>1</v>
      </c>
      <c r="F15" s="66" t="n">
        <f aca="false">SUMPRODUCT(Code_Matrix!N$2:N$62,Code_Matrix!F$2:F$62)</f>
        <v>0</v>
      </c>
      <c r="G15" s="66" t="n">
        <f aca="false">SUMPRODUCT(Code_Matrix!N$2:N$62,Code_Matrix!G$2:G$62)</f>
        <v>0</v>
      </c>
      <c r="H15" s="66" t="n">
        <f aca="false">SUMPRODUCT(Code_Matrix!N$2:N$62,Code_Matrix!H$2:H$62)</f>
        <v>0</v>
      </c>
      <c r="I15" s="66" t="n">
        <f aca="false">SUMPRODUCT(Code_Matrix!N$2:N$62,Code_Matrix!I$2:I$62)</f>
        <v>0</v>
      </c>
      <c r="J15" s="66" t="n">
        <f aca="false">SUMPRODUCT(Code_Matrix!N$2:N$62,Code_Matrix!J$2:J$62)</f>
        <v>1</v>
      </c>
      <c r="K15" s="66" t="n">
        <f aca="false">SUMPRODUCT(Code_Matrix!N$2:N$62,Code_Matrix!K$2:K$62)</f>
        <v>0</v>
      </c>
      <c r="L15" s="66" t="n">
        <f aca="false">SUMPRODUCT(Code_Matrix!N$2:N$62,Code_Matrix!L$2:L$62)</f>
        <v>0</v>
      </c>
      <c r="M15" s="66" t="n">
        <f aca="false">SUMPRODUCT(Code_Matrix!N$2:N$62,Code_Matrix!M$2:M$62)</f>
        <v>1</v>
      </c>
      <c r="N15" s="66" t="n">
        <f aca="false">SUMPRODUCT(Code_Matrix!N$2:N$62,Code_Matrix!N$2:N$62)</f>
        <v>4</v>
      </c>
      <c r="O15" s="66" t="n">
        <f aca="false">SUMPRODUCT(Code_Matrix!N$2:N$62,Code_Matrix!O$2:O$62)</f>
        <v>0</v>
      </c>
      <c r="P15" s="66" t="n">
        <f aca="false">SUMPRODUCT(Code_Matrix!N$2:N$62,Code_Matrix!P$2:P$62)</f>
        <v>0</v>
      </c>
      <c r="Q15" s="66" t="n">
        <f aca="false">SUMPRODUCT(Code_Matrix!N$2:N$62,Code_Matrix!Q$2:Q$62)</f>
        <v>0</v>
      </c>
      <c r="R15" s="66" t="n">
        <f aca="false">SUMPRODUCT(Code_Matrix!N$2:N$62,Code_Matrix!R$2:R$62)</f>
        <v>0</v>
      </c>
      <c r="S15" s="66" t="n">
        <f aca="false">SUMPRODUCT(Code_Matrix!N$2:N$62,Code_Matrix!S$2:S$62)</f>
        <v>0</v>
      </c>
      <c r="T15" s="66" t="n">
        <f aca="false">SUMPRODUCT(Code_Matrix!N$2:N$62,Code_Matrix!T$2:T$62)</f>
        <v>0</v>
      </c>
      <c r="U15" s="66" t="n">
        <f aca="false">SUMPRODUCT(Code_Matrix!N$2:N$62,Code_Matrix!U$2:U$62)</f>
        <v>0</v>
      </c>
      <c r="V15" s="66" t="n">
        <f aca="false">SUMPRODUCT(Code_Matrix!N$2:N$62,Code_Matrix!V$2:V$62)</f>
        <v>2</v>
      </c>
      <c r="W15" s="66" t="n">
        <f aca="false">SUMPRODUCT(Code_Matrix!N$2:N$62,Code_Matrix!W$2:W$62)</f>
        <v>2</v>
      </c>
      <c r="X15" s="66" t="n">
        <f aca="false">SUMPRODUCT(Code_Matrix!N$2:N$62,Code_Matrix!X$2:X$62)</f>
        <v>1</v>
      </c>
    </row>
    <row r="16" customFormat="false" ht="15" hidden="false" customHeight="true" outlineLevel="0" collapsed="false">
      <c r="A16" s="63" t="s">
        <v>118</v>
      </c>
      <c r="B16" s="66" t="n">
        <f aca="false">SUMPRODUCT(Code_Matrix!O$2:O$62,Code_Matrix!B$2:B$62)</f>
        <v>2</v>
      </c>
      <c r="C16" s="66" t="n">
        <f aca="false">SUMPRODUCT(Code_Matrix!O$2:O$62,Code_Matrix!C$2:C$62)</f>
        <v>0</v>
      </c>
      <c r="D16" s="66" t="n">
        <f aca="false">SUMPRODUCT(Code_Matrix!O$2:O$62,Code_Matrix!D$2:D$62)</f>
        <v>1</v>
      </c>
      <c r="E16" s="66" t="n">
        <f aca="false">SUMPRODUCT(Code_Matrix!O$2:O$62,Code_Matrix!E$2:E$62)</f>
        <v>1</v>
      </c>
      <c r="F16" s="66" t="n">
        <f aca="false">SUMPRODUCT(Code_Matrix!O$2:O$62,Code_Matrix!F$2:F$62)</f>
        <v>1</v>
      </c>
      <c r="G16" s="66" t="n">
        <f aca="false">SUMPRODUCT(Code_Matrix!O$2:O$62,Code_Matrix!G$2:G$62)</f>
        <v>0</v>
      </c>
      <c r="H16" s="66" t="n">
        <f aca="false">SUMPRODUCT(Code_Matrix!O$2:O$62,Code_Matrix!H$2:H$62)</f>
        <v>0</v>
      </c>
      <c r="I16" s="66" t="n">
        <f aca="false">SUMPRODUCT(Code_Matrix!O$2:O$62,Code_Matrix!I$2:I$62)</f>
        <v>0</v>
      </c>
      <c r="J16" s="66" t="n">
        <f aca="false">SUMPRODUCT(Code_Matrix!O$2:O$62,Code_Matrix!J$2:J$62)</f>
        <v>2</v>
      </c>
      <c r="K16" s="66" t="n">
        <f aca="false">SUMPRODUCT(Code_Matrix!O$2:O$62,Code_Matrix!K$2:K$62)</f>
        <v>2</v>
      </c>
      <c r="L16" s="66" t="n">
        <f aca="false">SUMPRODUCT(Code_Matrix!O$2:O$62,Code_Matrix!L$2:L$62)</f>
        <v>1</v>
      </c>
      <c r="M16" s="66" t="n">
        <f aca="false">SUMPRODUCT(Code_Matrix!O$2:O$62,Code_Matrix!M$2:M$62)</f>
        <v>1</v>
      </c>
      <c r="N16" s="66" t="n">
        <f aca="false">SUMPRODUCT(Code_Matrix!O$2:O$62,Code_Matrix!N$2:N$62)</f>
        <v>0</v>
      </c>
      <c r="O16" s="66" t="n">
        <f aca="false">SUMPRODUCT(Code_Matrix!O$2:O$62,Code_Matrix!O$2:O$62)</f>
        <v>10</v>
      </c>
      <c r="P16" s="66" t="n">
        <f aca="false">SUMPRODUCT(Code_Matrix!O$2:O$62,Code_Matrix!P$2:P$62)</f>
        <v>0</v>
      </c>
      <c r="Q16" s="66" t="n">
        <f aca="false">SUMPRODUCT(Code_Matrix!O$2:O$62,Code_Matrix!Q$2:Q$62)</f>
        <v>4</v>
      </c>
      <c r="R16" s="66" t="n">
        <f aca="false">SUMPRODUCT(Code_Matrix!O$2:O$62,Code_Matrix!R$2:R$62)</f>
        <v>0</v>
      </c>
      <c r="S16" s="66" t="n">
        <f aca="false">SUMPRODUCT(Code_Matrix!O$2:O$62,Code_Matrix!S$2:S$62)</f>
        <v>0</v>
      </c>
      <c r="T16" s="66" t="n">
        <f aca="false">SUMPRODUCT(Code_Matrix!O$2:O$62,Code_Matrix!T$2:T$62)</f>
        <v>0</v>
      </c>
      <c r="U16" s="66" t="n">
        <f aca="false">SUMPRODUCT(Code_Matrix!O$2:O$62,Code_Matrix!U$2:U$62)</f>
        <v>0</v>
      </c>
      <c r="V16" s="66" t="n">
        <f aca="false">SUMPRODUCT(Code_Matrix!O$2:O$62,Code_Matrix!V$2:V$62)</f>
        <v>1</v>
      </c>
      <c r="W16" s="66" t="n">
        <f aca="false">SUMPRODUCT(Code_Matrix!O$2:O$62,Code_Matrix!W$2:W$62)</f>
        <v>2</v>
      </c>
      <c r="X16" s="66" t="n">
        <f aca="false">SUMPRODUCT(Code_Matrix!O$2:O$62,Code_Matrix!X$2:X$62)</f>
        <v>1</v>
      </c>
    </row>
    <row r="17" customFormat="false" ht="15" hidden="false" customHeight="true" outlineLevel="0" collapsed="false">
      <c r="A17" s="63" t="s">
        <v>120</v>
      </c>
      <c r="B17" s="66" t="n">
        <f aca="false">SUMPRODUCT(Code_Matrix!P$2:P$62,Code_Matrix!B$2:B$62)</f>
        <v>0</v>
      </c>
      <c r="C17" s="66" t="n">
        <f aca="false">SUMPRODUCT(Code_Matrix!P$2:P$62,Code_Matrix!C$2:C$62)</f>
        <v>0</v>
      </c>
      <c r="D17" s="66" t="n">
        <f aca="false">SUMPRODUCT(Code_Matrix!P$2:P$62,Code_Matrix!D$2:D$62)</f>
        <v>2</v>
      </c>
      <c r="E17" s="66" t="n">
        <f aca="false">SUMPRODUCT(Code_Matrix!P$2:P$62,Code_Matrix!E$2:E$62)</f>
        <v>2</v>
      </c>
      <c r="F17" s="66" t="n">
        <f aca="false">SUMPRODUCT(Code_Matrix!P$2:P$62,Code_Matrix!F$2:F$62)</f>
        <v>2</v>
      </c>
      <c r="G17" s="66" t="n">
        <f aca="false">SUMPRODUCT(Code_Matrix!P$2:P$62,Code_Matrix!G$2:G$62)</f>
        <v>0</v>
      </c>
      <c r="H17" s="66" t="n">
        <f aca="false">SUMPRODUCT(Code_Matrix!P$2:P$62,Code_Matrix!H$2:H$62)</f>
        <v>1</v>
      </c>
      <c r="I17" s="66" t="n">
        <f aca="false">SUMPRODUCT(Code_Matrix!P$2:P$62,Code_Matrix!I$2:I$62)</f>
        <v>0</v>
      </c>
      <c r="J17" s="66" t="n">
        <f aca="false">SUMPRODUCT(Code_Matrix!P$2:P$62,Code_Matrix!J$2:J$62)</f>
        <v>1</v>
      </c>
      <c r="K17" s="66" t="n">
        <f aca="false">SUMPRODUCT(Code_Matrix!P$2:P$62,Code_Matrix!K$2:K$62)</f>
        <v>1</v>
      </c>
      <c r="L17" s="66" t="n">
        <f aca="false">SUMPRODUCT(Code_Matrix!P$2:P$62,Code_Matrix!L$2:L$62)</f>
        <v>0</v>
      </c>
      <c r="M17" s="66" t="n">
        <f aca="false">SUMPRODUCT(Code_Matrix!P$2:P$62,Code_Matrix!M$2:M$62)</f>
        <v>0</v>
      </c>
      <c r="N17" s="66" t="n">
        <f aca="false">SUMPRODUCT(Code_Matrix!P$2:P$62,Code_Matrix!N$2:N$62)</f>
        <v>0</v>
      </c>
      <c r="O17" s="66" t="n">
        <f aca="false">SUMPRODUCT(Code_Matrix!P$2:P$62,Code_Matrix!O$2:O$62)</f>
        <v>0</v>
      </c>
      <c r="P17" s="66" t="n">
        <f aca="false">SUMPRODUCT(Code_Matrix!P$2:P$62,Code_Matrix!P$2:P$62)</f>
        <v>7</v>
      </c>
      <c r="Q17" s="66" t="n">
        <f aca="false">SUMPRODUCT(Code_Matrix!P$2:P$62,Code_Matrix!Q$2:Q$62)</f>
        <v>2</v>
      </c>
      <c r="R17" s="66" t="n">
        <f aca="false">SUMPRODUCT(Code_Matrix!P$2:P$62,Code_Matrix!R$2:R$62)</f>
        <v>1</v>
      </c>
      <c r="S17" s="66" t="n">
        <f aca="false">SUMPRODUCT(Code_Matrix!P$2:P$62,Code_Matrix!S$2:S$62)</f>
        <v>0</v>
      </c>
      <c r="T17" s="66" t="n">
        <f aca="false">SUMPRODUCT(Code_Matrix!P$2:P$62,Code_Matrix!T$2:T$62)</f>
        <v>0</v>
      </c>
      <c r="U17" s="66" t="n">
        <f aca="false">SUMPRODUCT(Code_Matrix!P$2:P$62,Code_Matrix!U$2:U$62)</f>
        <v>1</v>
      </c>
      <c r="V17" s="66" t="n">
        <f aca="false">SUMPRODUCT(Code_Matrix!P$2:P$62,Code_Matrix!V$2:V$62)</f>
        <v>0</v>
      </c>
      <c r="W17" s="66" t="n">
        <f aca="false">SUMPRODUCT(Code_Matrix!P$2:P$62,Code_Matrix!W$2:W$62)</f>
        <v>2</v>
      </c>
      <c r="X17" s="66" t="n">
        <f aca="false">SUMPRODUCT(Code_Matrix!P$2:P$62,Code_Matrix!X$2:X$62)</f>
        <v>0</v>
      </c>
    </row>
    <row r="18" customFormat="false" ht="15" hidden="false" customHeight="true" outlineLevel="0" collapsed="false">
      <c r="A18" s="63" t="s">
        <v>122</v>
      </c>
      <c r="B18" s="66" t="n">
        <f aca="false">SUMPRODUCT(Code_Matrix!Q$2:Q$62,Code_Matrix!B$2:B$62)</f>
        <v>2</v>
      </c>
      <c r="C18" s="66" t="n">
        <f aca="false">SUMPRODUCT(Code_Matrix!Q$2:Q$62,Code_Matrix!C$2:C$62)</f>
        <v>0</v>
      </c>
      <c r="D18" s="66" t="n">
        <f aca="false">SUMPRODUCT(Code_Matrix!Q$2:Q$62,Code_Matrix!D$2:D$62)</f>
        <v>2</v>
      </c>
      <c r="E18" s="66" t="n">
        <f aca="false">SUMPRODUCT(Code_Matrix!Q$2:Q$62,Code_Matrix!E$2:E$62)</f>
        <v>2</v>
      </c>
      <c r="F18" s="66" t="n">
        <f aca="false">SUMPRODUCT(Code_Matrix!Q$2:Q$62,Code_Matrix!F$2:F$62)</f>
        <v>1</v>
      </c>
      <c r="G18" s="66" t="n">
        <f aca="false">SUMPRODUCT(Code_Matrix!Q$2:Q$62,Code_Matrix!G$2:G$62)</f>
        <v>0</v>
      </c>
      <c r="H18" s="66" t="n">
        <f aca="false">SUMPRODUCT(Code_Matrix!Q$2:Q$62,Code_Matrix!H$2:H$62)</f>
        <v>0</v>
      </c>
      <c r="I18" s="66" t="n">
        <f aca="false">SUMPRODUCT(Code_Matrix!Q$2:Q$62,Code_Matrix!I$2:I$62)</f>
        <v>0</v>
      </c>
      <c r="J18" s="66" t="n">
        <f aca="false">SUMPRODUCT(Code_Matrix!Q$2:Q$62,Code_Matrix!J$2:J$62)</f>
        <v>0</v>
      </c>
      <c r="K18" s="66" t="n">
        <f aca="false">SUMPRODUCT(Code_Matrix!Q$2:Q$62,Code_Matrix!K$2:K$62)</f>
        <v>0</v>
      </c>
      <c r="L18" s="66" t="n">
        <f aca="false">SUMPRODUCT(Code_Matrix!Q$2:Q$62,Code_Matrix!L$2:L$62)</f>
        <v>0</v>
      </c>
      <c r="M18" s="66" t="n">
        <f aca="false">SUMPRODUCT(Code_Matrix!Q$2:Q$62,Code_Matrix!M$2:M$62)</f>
        <v>1</v>
      </c>
      <c r="N18" s="66" t="n">
        <f aca="false">SUMPRODUCT(Code_Matrix!Q$2:Q$62,Code_Matrix!N$2:N$62)</f>
        <v>0</v>
      </c>
      <c r="O18" s="66" t="n">
        <f aca="false">SUMPRODUCT(Code_Matrix!Q$2:Q$62,Code_Matrix!O$2:O$62)</f>
        <v>4</v>
      </c>
      <c r="P18" s="66" t="n">
        <f aca="false">SUMPRODUCT(Code_Matrix!Q$2:Q$62,Code_Matrix!P$2:P$62)</f>
        <v>2</v>
      </c>
      <c r="Q18" s="66" t="n">
        <f aca="false">SUMPRODUCT(Code_Matrix!Q$2:Q$62,Code_Matrix!Q$2:Q$62)</f>
        <v>11</v>
      </c>
      <c r="R18" s="66" t="n">
        <f aca="false">SUMPRODUCT(Code_Matrix!Q$2:Q$62,Code_Matrix!R$2:R$62)</f>
        <v>0</v>
      </c>
      <c r="S18" s="66" t="n">
        <f aca="false">SUMPRODUCT(Code_Matrix!Q$2:Q$62,Code_Matrix!S$2:S$62)</f>
        <v>1</v>
      </c>
      <c r="T18" s="66" t="n">
        <f aca="false">SUMPRODUCT(Code_Matrix!Q$2:Q$62,Code_Matrix!T$2:T$62)</f>
        <v>1</v>
      </c>
      <c r="U18" s="66" t="n">
        <f aca="false">SUMPRODUCT(Code_Matrix!Q$2:Q$62,Code_Matrix!U$2:U$62)</f>
        <v>0</v>
      </c>
      <c r="V18" s="66" t="n">
        <f aca="false">SUMPRODUCT(Code_Matrix!Q$2:Q$62,Code_Matrix!V$2:V$62)</f>
        <v>0</v>
      </c>
      <c r="W18" s="66" t="n">
        <f aca="false">SUMPRODUCT(Code_Matrix!Q$2:Q$62,Code_Matrix!W$2:W$62)</f>
        <v>0</v>
      </c>
      <c r="X18" s="66" t="n">
        <f aca="false">SUMPRODUCT(Code_Matrix!Q$2:Q$62,Code_Matrix!X$2:X$62)</f>
        <v>0</v>
      </c>
    </row>
    <row r="19" customFormat="false" ht="15" hidden="false" customHeight="true" outlineLevel="0" collapsed="false">
      <c r="A19" s="63" t="s">
        <v>124</v>
      </c>
      <c r="B19" s="66" t="n">
        <f aca="false">SUMPRODUCT(Code_Matrix!R$2:R$62,Code_Matrix!B$2:B$62)</f>
        <v>3</v>
      </c>
      <c r="C19" s="66" t="n">
        <f aca="false">SUMPRODUCT(Code_Matrix!R$2:R$62,Code_Matrix!C$2:C$62)</f>
        <v>1</v>
      </c>
      <c r="D19" s="66" t="n">
        <f aca="false">SUMPRODUCT(Code_Matrix!R$2:R$62,Code_Matrix!D$2:D$62)</f>
        <v>1</v>
      </c>
      <c r="E19" s="66" t="n">
        <f aca="false">SUMPRODUCT(Code_Matrix!R$2:R$62,Code_Matrix!E$2:E$62)</f>
        <v>0</v>
      </c>
      <c r="F19" s="66" t="n">
        <f aca="false">SUMPRODUCT(Code_Matrix!R$2:R$62,Code_Matrix!F$2:F$62)</f>
        <v>0</v>
      </c>
      <c r="G19" s="66" t="n">
        <f aca="false">SUMPRODUCT(Code_Matrix!R$2:R$62,Code_Matrix!G$2:G$62)</f>
        <v>0</v>
      </c>
      <c r="H19" s="66" t="n">
        <f aca="false">SUMPRODUCT(Code_Matrix!R$2:R$62,Code_Matrix!H$2:H$62)</f>
        <v>0</v>
      </c>
      <c r="I19" s="66" t="n">
        <f aca="false">SUMPRODUCT(Code_Matrix!R$2:R$62,Code_Matrix!I$2:I$62)</f>
        <v>0</v>
      </c>
      <c r="J19" s="66" t="n">
        <f aca="false">SUMPRODUCT(Code_Matrix!R$2:R$62,Code_Matrix!J$2:J$62)</f>
        <v>0</v>
      </c>
      <c r="K19" s="66" t="n">
        <f aca="false">SUMPRODUCT(Code_Matrix!R$2:R$62,Code_Matrix!K$2:K$62)</f>
        <v>0</v>
      </c>
      <c r="L19" s="66" t="n">
        <f aca="false">SUMPRODUCT(Code_Matrix!R$2:R$62,Code_Matrix!L$2:L$62)</f>
        <v>2</v>
      </c>
      <c r="M19" s="66" t="n">
        <f aca="false">SUMPRODUCT(Code_Matrix!R$2:R$62,Code_Matrix!M$2:M$62)</f>
        <v>0</v>
      </c>
      <c r="N19" s="66" t="n">
        <f aca="false">SUMPRODUCT(Code_Matrix!R$2:R$62,Code_Matrix!N$2:N$62)</f>
        <v>0</v>
      </c>
      <c r="O19" s="66" t="n">
        <f aca="false">SUMPRODUCT(Code_Matrix!R$2:R$62,Code_Matrix!O$2:O$62)</f>
        <v>0</v>
      </c>
      <c r="P19" s="66" t="n">
        <f aca="false">SUMPRODUCT(Code_Matrix!R$2:R$62,Code_Matrix!P$2:P$62)</f>
        <v>1</v>
      </c>
      <c r="Q19" s="66" t="n">
        <f aca="false">SUMPRODUCT(Code_Matrix!R$2:R$62,Code_Matrix!Q$2:Q$62)</f>
        <v>0</v>
      </c>
      <c r="R19" s="66" t="n">
        <f aca="false">SUMPRODUCT(Code_Matrix!R$2:R$62,Code_Matrix!R$2:R$62)</f>
        <v>10</v>
      </c>
      <c r="S19" s="66" t="n">
        <f aca="false">SUMPRODUCT(Code_Matrix!R$2:R$62,Code_Matrix!S$2:S$62)</f>
        <v>2</v>
      </c>
      <c r="T19" s="66" t="n">
        <f aca="false">SUMPRODUCT(Code_Matrix!R$2:R$62,Code_Matrix!T$2:T$62)</f>
        <v>1</v>
      </c>
      <c r="U19" s="66" t="n">
        <f aca="false">SUMPRODUCT(Code_Matrix!R$2:R$62,Code_Matrix!U$2:U$62)</f>
        <v>0</v>
      </c>
      <c r="V19" s="66" t="n">
        <f aca="false">SUMPRODUCT(Code_Matrix!R$2:R$62,Code_Matrix!V$2:V$62)</f>
        <v>0</v>
      </c>
      <c r="W19" s="66" t="n">
        <f aca="false">SUMPRODUCT(Code_Matrix!R$2:R$62,Code_Matrix!W$2:W$62)</f>
        <v>3</v>
      </c>
      <c r="X19" s="66" t="n">
        <f aca="false">SUMPRODUCT(Code_Matrix!R$2:R$62,Code_Matrix!X$2:X$62)</f>
        <v>1</v>
      </c>
    </row>
    <row r="20" customFormat="false" ht="15" hidden="false" customHeight="true" outlineLevel="0" collapsed="false">
      <c r="A20" s="63" t="s">
        <v>126</v>
      </c>
      <c r="B20" s="66" t="n">
        <f aca="false">SUMPRODUCT(Code_Matrix!S$2:S$62,Code_Matrix!B$2:B$62)</f>
        <v>1</v>
      </c>
      <c r="C20" s="66" t="n">
        <f aca="false">SUMPRODUCT(Code_Matrix!S$2:S$62,Code_Matrix!C$2:C$62)</f>
        <v>0</v>
      </c>
      <c r="D20" s="66" t="n">
        <f aca="false">SUMPRODUCT(Code_Matrix!S$2:S$62,Code_Matrix!D$2:D$62)</f>
        <v>0</v>
      </c>
      <c r="E20" s="66" t="n">
        <f aca="false">SUMPRODUCT(Code_Matrix!S$2:S$62,Code_Matrix!E$2:E$62)</f>
        <v>0</v>
      </c>
      <c r="F20" s="66" t="n">
        <f aca="false">SUMPRODUCT(Code_Matrix!S$2:S$62,Code_Matrix!F$2:F$62)</f>
        <v>0</v>
      </c>
      <c r="G20" s="66" t="n">
        <f aca="false">SUMPRODUCT(Code_Matrix!S$2:S$62,Code_Matrix!G$2:G$62)</f>
        <v>0</v>
      </c>
      <c r="H20" s="66" t="n">
        <f aca="false">SUMPRODUCT(Code_Matrix!S$2:S$62,Code_Matrix!H$2:H$62)</f>
        <v>0</v>
      </c>
      <c r="I20" s="66" t="n">
        <f aca="false">SUMPRODUCT(Code_Matrix!S$2:S$62,Code_Matrix!I$2:I$62)</f>
        <v>0</v>
      </c>
      <c r="J20" s="66" t="n">
        <f aca="false">SUMPRODUCT(Code_Matrix!S$2:S$62,Code_Matrix!J$2:J$62)</f>
        <v>1</v>
      </c>
      <c r="K20" s="66" t="n">
        <f aca="false">SUMPRODUCT(Code_Matrix!S$2:S$62,Code_Matrix!K$2:K$62)</f>
        <v>1</v>
      </c>
      <c r="L20" s="66" t="n">
        <f aca="false">SUMPRODUCT(Code_Matrix!S$2:S$62,Code_Matrix!L$2:L$62)</f>
        <v>0</v>
      </c>
      <c r="M20" s="66" t="n">
        <f aca="false">SUMPRODUCT(Code_Matrix!S$2:S$62,Code_Matrix!M$2:M$62)</f>
        <v>0</v>
      </c>
      <c r="N20" s="66" t="n">
        <f aca="false">SUMPRODUCT(Code_Matrix!S$2:S$62,Code_Matrix!N$2:N$62)</f>
        <v>0</v>
      </c>
      <c r="O20" s="66" t="n">
        <f aca="false">SUMPRODUCT(Code_Matrix!S$2:S$62,Code_Matrix!O$2:O$62)</f>
        <v>0</v>
      </c>
      <c r="P20" s="66" t="n">
        <f aca="false">SUMPRODUCT(Code_Matrix!S$2:S$62,Code_Matrix!P$2:P$62)</f>
        <v>0</v>
      </c>
      <c r="Q20" s="66" t="n">
        <f aca="false">SUMPRODUCT(Code_Matrix!S$2:S$62,Code_Matrix!Q$2:Q$62)</f>
        <v>1</v>
      </c>
      <c r="R20" s="66" t="n">
        <f aca="false">SUMPRODUCT(Code_Matrix!S$2:S$62,Code_Matrix!R$2:R$62)</f>
        <v>2</v>
      </c>
      <c r="S20" s="66" t="n">
        <f aca="false">SUMPRODUCT(Code_Matrix!S$2:S$62,Code_Matrix!S$2:S$62)</f>
        <v>4</v>
      </c>
      <c r="T20" s="66" t="n">
        <f aca="false">SUMPRODUCT(Code_Matrix!S$2:S$62,Code_Matrix!T$2:T$62)</f>
        <v>1</v>
      </c>
      <c r="U20" s="66" t="n">
        <f aca="false">SUMPRODUCT(Code_Matrix!S$2:S$62,Code_Matrix!U$2:U$62)</f>
        <v>0</v>
      </c>
      <c r="V20" s="66" t="n">
        <f aca="false">SUMPRODUCT(Code_Matrix!S$2:S$62,Code_Matrix!V$2:V$62)</f>
        <v>0</v>
      </c>
      <c r="W20" s="66" t="n">
        <f aca="false">SUMPRODUCT(Code_Matrix!S$2:S$62,Code_Matrix!W$2:W$62)</f>
        <v>1</v>
      </c>
      <c r="X20" s="66" t="n">
        <f aca="false">SUMPRODUCT(Code_Matrix!S$2:S$62,Code_Matrix!X$2:X$62)</f>
        <v>0</v>
      </c>
    </row>
    <row r="21" customFormat="false" ht="15" hidden="false" customHeight="true" outlineLevel="0" collapsed="false">
      <c r="A21" s="63" t="s">
        <v>128</v>
      </c>
      <c r="B21" s="66" t="n">
        <f aca="false">SUMPRODUCT(Code_Matrix!T$2:T$62,Code_Matrix!B$2:B$62)</f>
        <v>0</v>
      </c>
      <c r="C21" s="66" t="n">
        <f aca="false">SUMPRODUCT(Code_Matrix!T$2:T$62,Code_Matrix!C$2:C$62)</f>
        <v>0</v>
      </c>
      <c r="D21" s="66" t="n">
        <f aca="false">SUMPRODUCT(Code_Matrix!T$2:T$62,Code_Matrix!D$2:D$62)</f>
        <v>0</v>
      </c>
      <c r="E21" s="66" t="n">
        <f aca="false">SUMPRODUCT(Code_Matrix!T$2:T$62,Code_Matrix!E$2:E$62)</f>
        <v>1</v>
      </c>
      <c r="F21" s="66" t="n">
        <f aca="false">SUMPRODUCT(Code_Matrix!T$2:T$62,Code_Matrix!F$2:F$62)</f>
        <v>1</v>
      </c>
      <c r="G21" s="66" t="n">
        <f aca="false">SUMPRODUCT(Code_Matrix!T$2:T$62,Code_Matrix!G$2:G$62)</f>
        <v>0</v>
      </c>
      <c r="H21" s="66" t="n">
        <f aca="false">SUMPRODUCT(Code_Matrix!T$2:T$62,Code_Matrix!H$2:H$62)</f>
        <v>0</v>
      </c>
      <c r="I21" s="66" t="n">
        <f aca="false">SUMPRODUCT(Code_Matrix!T$2:T$62,Code_Matrix!I$2:I$62)</f>
        <v>0</v>
      </c>
      <c r="J21" s="66" t="n">
        <f aca="false">SUMPRODUCT(Code_Matrix!T$2:T$62,Code_Matrix!J$2:J$62)</f>
        <v>1</v>
      </c>
      <c r="K21" s="66" t="n">
        <f aca="false">SUMPRODUCT(Code_Matrix!T$2:T$62,Code_Matrix!K$2:K$62)</f>
        <v>1</v>
      </c>
      <c r="L21" s="66" t="n">
        <f aca="false">SUMPRODUCT(Code_Matrix!T$2:T$62,Code_Matrix!L$2:L$62)</f>
        <v>0</v>
      </c>
      <c r="M21" s="66" t="n">
        <f aca="false">SUMPRODUCT(Code_Matrix!T$2:T$62,Code_Matrix!M$2:M$62)</f>
        <v>0</v>
      </c>
      <c r="N21" s="66" t="n">
        <f aca="false">SUMPRODUCT(Code_Matrix!T$2:T$62,Code_Matrix!N$2:N$62)</f>
        <v>0</v>
      </c>
      <c r="O21" s="66" t="n">
        <f aca="false">SUMPRODUCT(Code_Matrix!T$2:T$62,Code_Matrix!O$2:O$62)</f>
        <v>0</v>
      </c>
      <c r="P21" s="66" t="n">
        <f aca="false">SUMPRODUCT(Code_Matrix!T$2:T$62,Code_Matrix!P$2:P$62)</f>
        <v>0</v>
      </c>
      <c r="Q21" s="66" t="n">
        <f aca="false">SUMPRODUCT(Code_Matrix!T$2:T$62,Code_Matrix!Q$2:Q$62)</f>
        <v>1</v>
      </c>
      <c r="R21" s="66" t="n">
        <f aca="false">SUMPRODUCT(Code_Matrix!T$2:T$62,Code_Matrix!R$2:R$62)</f>
        <v>1</v>
      </c>
      <c r="S21" s="66" t="n">
        <f aca="false">SUMPRODUCT(Code_Matrix!T$2:T$62,Code_Matrix!S$2:S$62)</f>
        <v>1</v>
      </c>
      <c r="T21" s="66" t="n">
        <f aca="false">SUMPRODUCT(Code_Matrix!T$2:T$62,Code_Matrix!T$2:T$62)</f>
        <v>5</v>
      </c>
      <c r="U21" s="66" t="n">
        <f aca="false">SUMPRODUCT(Code_Matrix!T$2:T$62,Code_Matrix!U$2:U$62)</f>
        <v>0</v>
      </c>
      <c r="V21" s="66" t="n">
        <f aca="false">SUMPRODUCT(Code_Matrix!T$2:T$62,Code_Matrix!V$2:V$62)</f>
        <v>0</v>
      </c>
      <c r="W21" s="66" t="n">
        <f aca="false">SUMPRODUCT(Code_Matrix!T$2:T$62,Code_Matrix!W$2:W$62)</f>
        <v>0</v>
      </c>
      <c r="X21" s="66" t="n">
        <f aca="false">SUMPRODUCT(Code_Matrix!T$2:T$62,Code_Matrix!X$2:X$62)</f>
        <v>0</v>
      </c>
    </row>
    <row r="22" customFormat="false" ht="15" hidden="false" customHeight="true" outlineLevel="0" collapsed="false">
      <c r="A22" s="63" t="s">
        <v>130</v>
      </c>
      <c r="B22" s="66" t="n">
        <f aca="false">SUMPRODUCT(Code_Matrix!U$2:U$62,Code_Matrix!B$2:B$62)</f>
        <v>0</v>
      </c>
      <c r="C22" s="66" t="n">
        <f aca="false">SUMPRODUCT(Code_Matrix!U$2:U$62,Code_Matrix!C$2:C$62)</f>
        <v>0</v>
      </c>
      <c r="D22" s="66" t="n">
        <f aca="false">SUMPRODUCT(Code_Matrix!U$2:U$62,Code_Matrix!D$2:D$62)</f>
        <v>0</v>
      </c>
      <c r="E22" s="66" t="n">
        <f aca="false">SUMPRODUCT(Code_Matrix!U$2:U$62,Code_Matrix!E$2:E$62)</f>
        <v>0</v>
      </c>
      <c r="F22" s="66" t="n">
        <f aca="false">SUMPRODUCT(Code_Matrix!U$2:U$62,Code_Matrix!F$2:F$62)</f>
        <v>1</v>
      </c>
      <c r="G22" s="66" t="n">
        <f aca="false">SUMPRODUCT(Code_Matrix!U$2:U$62,Code_Matrix!G$2:G$62)</f>
        <v>0</v>
      </c>
      <c r="H22" s="66" t="n">
        <f aca="false">SUMPRODUCT(Code_Matrix!U$2:U$62,Code_Matrix!H$2:H$62)</f>
        <v>0</v>
      </c>
      <c r="I22" s="66" t="n">
        <f aca="false">SUMPRODUCT(Code_Matrix!U$2:U$62,Code_Matrix!I$2:I$62)</f>
        <v>0</v>
      </c>
      <c r="J22" s="66" t="n">
        <f aca="false">SUMPRODUCT(Code_Matrix!U$2:U$62,Code_Matrix!J$2:J$62)</f>
        <v>0</v>
      </c>
      <c r="K22" s="66" t="n">
        <f aca="false">SUMPRODUCT(Code_Matrix!U$2:U$62,Code_Matrix!K$2:K$62)</f>
        <v>0</v>
      </c>
      <c r="L22" s="66" t="n">
        <f aca="false">SUMPRODUCT(Code_Matrix!U$2:U$62,Code_Matrix!L$2:L$62)</f>
        <v>0</v>
      </c>
      <c r="M22" s="66" t="n">
        <f aca="false">SUMPRODUCT(Code_Matrix!U$2:U$62,Code_Matrix!M$2:M$62)</f>
        <v>0</v>
      </c>
      <c r="N22" s="66" t="n">
        <f aca="false">SUMPRODUCT(Code_Matrix!U$2:U$62,Code_Matrix!N$2:N$62)</f>
        <v>0</v>
      </c>
      <c r="O22" s="66" t="n">
        <f aca="false">SUMPRODUCT(Code_Matrix!U$2:U$62,Code_Matrix!O$2:O$62)</f>
        <v>0</v>
      </c>
      <c r="P22" s="66" t="n">
        <f aca="false">SUMPRODUCT(Code_Matrix!U$2:U$62,Code_Matrix!P$2:P$62)</f>
        <v>1</v>
      </c>
      <c r="Q22" s="66" t="n">
        <f aca="false">SUMPRODUCT(Code_Matrix!U$2:U$62,Code_Matrix!Q$2:Q$62)</f>
        <v>0</v>
      </c>
      <c r="R22" s="66" t="n">
        <f aca="false">SUMPRODUCT(Code_Matrix!U$2:U$62,Code_Matrix!R$2:R$62)</f>
        <v>0</v>
      </c>
      <c r="S22" s="66" t="n">
        <f aca="false">SUMPRODUCT(Code_Matrix!U$2:U$62,Code_Matrix!S$2:S$62)</f>
        <v>0</v>
      </c>
      <c r="T22" s="66" t="n">
        <f aca="false">SUMPRODUCT(Code_Matrix!U$2:U$62,Code_Matrix!T$2:T$62)</f>
        <v>0</v>
      </c>
      <c r="U22" s="66" t="n">
        <f aca="false">SUMPRODUCT(Code_Matrix!U$2:U$62,Code_Matrix!U$2:U$62)</f>
        <v>4</v>
      </c>
      <c r="V22" s="66" t="n">
        <f aca="false">SUMPRODUCT(Code_Matrix!U$2:U$62,Code_Matrix!V$2:V$62)</f>
        <v>1</v>
      </c>
      <c r="W22" s="66" t="n">
        <f aca="false">SUMPRODUCT(Code_Matrix!U$2:U$62,Code_Matrix!W$2:W$62)</f>
        <v>3</v>
      </c>
      <c r="X22" s="66" t="n">
        <f aca="false">SUMPRODUCT(Code_Matrix!U$2:U$62,Code_Matrix!X$2:X$62)</f>
        <v>0</v>
      </c>
    </row>
    <row r="23" customFormat="false" ht="15" hidden="false" customHeight="true" outlineLevel="0" collapsed="false">
      <c r="A23" s="63" t="s">
        <v>132</v>
      </c>
      <c r="B23" s="66" t="n">
        <f aca="false">SUMPRODUCT(Code_Matrix!V$2:V$62,Code_Matrix!B$2:B$62)</f>
        <v>1</v>
      </c>
      <c r="C23" s="66" t="n">
        <f aca="false">SUMPRODUCT(Code_Matrix!V$2:V$62,Code_Matrix!C$2:C$62)</f>
        <v>0</v>
      </c>
      <c r="D23" s="66" t="n">
        <f aca="false">SUMPRODUCT(Code_Matrix!V$2:V$62,Code_Matrix!D$2:D$62)</f>
        <v>0</v>
      </c>
      <c r="E23" s="66" t="n">
        <f aca="false">SUMPRODUCT(Code_Matrix!V$2:V$62,Code_Matrix!E$2:E$62)</f>
        <v>0</v>
      </c>
      <c r="F23" s="66" t="n">
        <f aca="false">SUMPRODUCT(Code_Matrix!V$2:V$62,Code_Matrix!F$2:F$62)</f>
        <v>0</v>
      </c>
      <c r="G23" s="66" t="n">
        <f aca="false">SUMPRODUCT(Code_Matrix!V$2:V$62,Code_Matrix!G$2:G$62)</f>
        <v>0</v>
      </c>
      <c r="H23" s="66" t="n">
        <f aca="false">SUMPRODUCT(Code_Matrix!V$2:V$62,Code_Matrix!H$2:H$62)</f>
        <v>0</v>
      </c>
      <c r="I23" s="66" t="n">
        <f aca="false">SUMPRODUCT(Code_Matrix!V$2:V$62,Code_Matrix!I$2:I$62)</f>
        <v>0</v>
      </c>
      <c r="J23" s="66" t="n">
        <f aca="false">SUMPRODUCT(Code_Matrix!V$2:V$62,Code_Matrix!J$2:J$62)</f>
        <v>1</v>
      </c>
      <c r="K23" s="66" t="n">
        <f aca="false">SUMPRODUCT(Code_Matrix!V$2:V$62,Code_Matrix!K$2:K$62)</f>
        <v>0</v>
      </c>
      <c r="L23" s="66" t="n">
        <f aca="false">SUMPRODUCT(Code_Matrix!V$2:V$62,Code_Matrix!L$2:L$62)</f>
        <v>0</v>
      </c>
      <c r="M23" s="66" t="n">
        <f aca="false">SUMPRODUCT(Code_Matrix!V$2:V$62,Code_Matrix!M$2:M$62)</f>
        <v>0</v>
      </c>
      <c r="N23" s="66" t="n">
        <f aca="false">SUMPRODUCT(Code_Matrix!V$2:V$62,Code_Matrix!N$2:N$62)</f>
        <v>2</v>
      </c>
      <c r="O23" s="66" t="n">
        <f aca="false">SUMPRODUCT(Code_Matrix!V$2:V$62,Code_Matrix!O$2:O$62)</f>
        <v>1</v>
      </c>
      <c r="P23" s="66" t="n">
        <f aca="false">SUMPRODUCT(Code_Matrix!V$2:V$62,Code_Matrix!P$2:P$62)</f>
        <v>0</v>
      </c>
      <c r="Q23" s="66" t="n">
        <f aca="false">SUMPRODUCT(Code_Matrix!V$2:V$62,Code_Matrix!Q$2:Q$62)</f>
        <v>0</v>
      </c>
      <c r="R23" s="66" t="n">
        <f aca="false">SUMPRODUCT(Code_Matrix!V$2:V$62,Code_Matrix!R$2:R$62)</f>
        <v>0</v>
      </c>
      <c r="S23" s="66" t="n">
        <f aca="false">SUMPRODUCT(Code_Matrix!V$2:V$62,Code_Matrix!S$2:S$62)</f>
        <v>0</v>
      </c>
      <c r="T23" s="66" t="n">
        <f aca="false">SUMPRODUCT(Code_Matrix!V$2:V$62,Code_Matrix!T$2:T$62)</f>
        <v>0</v>
      </c>
      <c r="U23" s="66" t="n">
        <f aca="false">SUMPRODUCT(Code_Matrix!V$2:V$62,Code_Matrix!U$2:U$62)</f>
        <v>1</v>
      </c>
      <c r="V23" s="66" t="n">
        <f aca="false">SUMPRODUCT(Code_Matrix!V$2:V$62,Code_Matrix!V$2:V$62)</f>
        <v>4</v>
      </c>
      <c r="W23" s="66" t="n">
        <f aca="false">SUMPRODUCT(Code_Matrix!V$2:V$62,Code_Matrix!W$2:W$62)</f>
        <v>3</v>
      </c>
      <c r="X23" s="66" t="n">
        <f aca="false">SUMPRODUCT(Code_Matrix!V$2:V$62,Code_Matrix!X$2:X$62)</f>
        <v>0</v>
      </c>
    </row>
    <row r="24" customFormat="false" ht="15" hidden="false" customHeight="true" outlineLevel="0" collapsed="false">
      <c r="A24" s="63" t="s">
        <v>134</v>
      </c>
      <c r="B24" s="66" t="n">
        <f aca="false">SUMPRODUCT(Code_Matrix!W$2:W$62,Code_Matrix!B$2:B$62)</f>
        <v>6</v>
      </c>
      <c r="C24" s="66" t="n">
        <f aca="false">SUMPRODUCT(Code_Matrix!W$2:W$62,Code_Matrix!C$2:C$62)</f>
        <v>0</v>
      </c>
      <c r="D24" s="66" t="n">
        <f aca="false">SUMPRODUCT(Code_Matrix!W$2:W$62,Code_Matrix!D$2:D$62)</f>
        <v>0</v>
      </c>
      <c r="E24" s="66" t="n">
        <f aca="false">SUMPRODUCT(Code_Matrix!W$2:W$62,Code_Matrix!E$2:E$62)</f>
        <v>1</v>
      </c>
      <c r="F24" s="66" t="n">
        <f aca="false">SUMPRODUCT(Code_Matrix!W$2:W$62,Code_Matrix!F$2:F$62)</f>
        <v>1</v>
      </c>
      <c r="G24" s="66" t="n">
        <f aca="false">SUMPRODUCT(Code_Matrix!W$2:W$62,Code_Matrix!G$2:G$62)</f>
        <v>0</v>
      </c>
      <c r="H24" s="66" t="n">
        <f aca="false">SUMPRODUCT(Code_Matrix!W$2:W$62,Code_Matrix!H$2:H$62)</f>
        <v>2</v>
      </c>
      <c r="I24" s="66" t="n">
        <f aca="false">SUMPRODUCT(Code_Matrix!W$2:W$62,Code_Matrix!I$2:I$62)</f>
        <v>1</v>
      </c>
      <c r="J24" s="66" t="n">
        <f aca="false">SUMPRODUCT(Code_Matrix!W$2:W$62,Code_Matrix!J$2:J$62)</f>
        <v>4</v>
      </c>
      <c r="K24" s="66" t="n">
        <f aca="false">SUMPRODUCT(Code_Matrix!W$2:W$62,Code_Matrix!K$2:K$62)</f>
        <v>1</v>
      </c>
      <c r="L24" s="66" t="n">
        <f aca="false">SUMPRODUCT(Code_Matrix!W$2:W$62,Code_Matrix!L$2:L$62)</f>
        <v>2</v>
      </c>
      <c r="M24" s="66" t="n">
        <f aca="false">SUMPRODUCT(Code_Matrix!W$2:W$62,Code_Matrix!M$2:M$62)</f>
        <v>2</v>
      </c>
      <c r="N24" s="66" t="n">
        <f aca="false">SUMPRODUCT(Code_Matrix!W$2:W$62,Code_Matrix!N$2:N$62)</f>
        <v>2</v>
      </c>
      <c r="O24" s="66" t="n">
        <f aca="false">SUMPRODUCT(Code_Matrix!W$2:W$62,Code_Matrix!O$2:O$62)</f>
        <v>2</v>
      </c>
      <c r="P24" s="66" t="n">
        <f aca="false">SUMPRODUCT(Code_Matrix!W$2:W$62,Code_Matrix!P$2:P$62)</f>
        <v>2</v>
      </c>
      <c r="Q24" s="66" t="n">
        <f aca="false">SUMPRODUCT(Code_Matrix!W$2:W$62,Code_Matrix!Q$2:Q$62)</f>
        <v>0</v>
      </c>
      <c r="R24" s="66" t="n">
        <f aca="false">SUMPRODUCT(Code_Matrix!W$2:W$62,Code_Matrix!R$2:R$62)</f>
        <v>3</v>
      </c>
      <c r="S24" s="66" t="n">
        <f aca="false">SUMPRODUCT(Code_Matrix!W$2:W$62,Code_Matrix!S$2:S$62)</f>
        <v>1</v>
      </c>
      <c r="T24" s="66" t="n">
        <f aca="false">SUMPRODUCT(Code_Matrix!W$2:W$62,Code_Matrix!T$2:T$62)</f>
        <v>0</v>
      </c>
      <c r="U24" s="66" t="n">
        <f aca="false">SUMPRODUCT(Code_Matrix!W$2:W$62,Code_Matrix!U$2:U$62)</f>
        <v>3</v>
      </c>
      <c r="V24" s="66" t="n">
        <f aca="false">SUMPRODUCT(Code_Matrix!W$2:W$62,Code_Matrix!V$2:V$62)</f>
        <v>3</v>
      </c>
      <c r="W24" s="66" t="n">
        <f aca="false">SUMPRODUCT(Code_Matrix!W$2:W$62,Code_Matrix!W$2:W$62)</f>
        <v>17</v>
      </c>
      <c r="X24" s="66" t="n">
        <f aca="false">SUMPRODUCT(Code_Matrix!W$2:W$62,Code_Matrix!X$2:X$62)</f>
        <v>3</v>
      </c>
    </row>
    <row r="25" customFormat="false" ht="15" hidden="false" customHeight="true" outlineLevel="0" collapsed="false">
      <c r="A25" s="63" t="s">
        <v>136</v>
      </c>
      <c r="B25" s="66" t="n">
        <f aca="false">SUMPRODUCT(Code_Matrix!X$2:X$62,Code_Matrix!B$2:B$62)</f>
        <v>2</v>
      </c>
      <c r="C25" s="66" t="n">
        <f aca="false">SUMPRODUCT(Code_Matrix!X$2:X$62,Code_Matrix!C$2:C$62)</f>
        <v>0</v>
      </c>
      <c r="D25" s="66" t="n">
        <f aca="false">SUMPRODUCT(Code_Matrix!X$2:X$62,Code_Matrix!D$2:D$62)</f>
        <v>0</v>
      </c>
      <c r="E25" s="66" t="n">
        <f aca="false">SUMPRODUCT(Code_Matrix!X$2:X$62,Code_Matrix!E$2:E$62)</f>
        <v>0</v>
      </c>
      <c r="F25" s="66" t="n">
        <f aca="false">SUMPRODUCT(Code_Matrix!X$2:X$62,Code_Matrix!F$2:F$62)</f>
        <v>0</v>
      </c>
      <c r="G25" s="66" t="n">
        <f aca="false">SUMPRODUCT(Code_Matrix!X$2:X$62,Code_Matrix!G$2:G$62)</f>
        <v>0</v>
      </c>
      <c r="H25" s="66" t="n">
        <f aca="false">SUMPRODUCT(Code_Matrix!X$2:X$62,Code_Matrix!H$2:H$62)</f>
        <v>0</v>
      </c>
      <c r="I25" s="66" t="n">
        <f aca="false">SUMPRODUCT(Code_Matrix!X$2:X$62,Code_Matrix!I$2:I$62)</f>
        <v>0</v>
      </c>
      <c r="J25" s="66" t="n">
        <f aca="false">SUMPRODUCT(Code_Matrix!X$2:X$62,Code_Matrix!J$2:J$62)</f>
        <v>0</v>
      </c>
      <c r="K25" s="66" t="n">
        <f aca="false">SUMPRODUCT(Code_Matrix!X$2:X$62,Code_Matrix!K$2:K$62)</f>
        <v>0</v>
      </c>
      <c r="L25" s="66" t="n">
        <f aca="false">SUMPRODUCT(Code_Matrix!X$2:X$62,Code_Matrix!L$2:L$62)</f>
        <v>1</v>
      </c>
      <c r="M25" s="66" t="n">
        <f aca="false">SUMPRODUCT(Code_Matrix!X$2:X$62,Code_Matrix!M$2:M$62)</f>
        <v>0</v>
      </c>
      <c r="N25" s="66" t="n">
        <f aca="false">SUMPRODUCT(Code_Matrix!X$2:X$62,Code_Matrix!N$2:N$62)</f>
        <v>1</v>
      </c>
      <c r="O25" s="66" t="n">
        <f aca="false">SUMPRODUCT(Code_Matrix!X$2:X$62,Code_Matrix!O$2:O$62)</f>
        <v>1</v>
      </c>
      <c r="P25" s="66" t="n">
        <f aca="false">SUMPRODUCT(Code_Matrix!X$2:X$62,Code_Matrix!P$2:P$62)</f>
        <v>0</v>
      </c>
      <c r="Q25" s="66" t="n">
        <f aca="false">SUMPRODUCT(Code_Matrix!X$2:X$62,Code_Matrix!Q$2:Q$62)</f>
        <v>0</v>
      </c>
      <c r="R25" s="66" t="n">
        <f aca="false">SUMPRODUCT(Code_Matrix!X$2:X$62,Code_Matrix!R$2:R$62)</f>
        <v>1</v>
      </c>
      <c r="S25" s="66" t="n">
        <f aca="false">SUMPRODUCT(Code_Matrix!X$2:X$62,Code_Matrix!S$2:S$62)</f>
        <v>0</v>
      </c>
      <c r="T25" s="66" t="n">
        <f aca="false">SUMPRODUCT(Code_Matrix!X$2:X$62,Code_Matrix!T$2:T$62)</f>
        <v>0</v>
      </c>
      <c r="U25" s="66" t="n">
        <f aca="false">SUMPRODUCT(Code_Matrix!X$2:X$62,Code_Matrix!U$2:U$62)</f>
        <v>0</v>
      </c>
      <c r="V25" s="66" t="n">
        <f aca="false">SUMPRODUCT(Code_Matrix!X$2:X$62,Code_Matrix!V$2:V$62)</f>
        <v>0</v>
      </c>
      <c r="W25" s="66" t="n">
        <f aca="false">SUMPRODUCT(Code_Matrix!X$2:X$62,Code_Matrix!W$2:W$62)</f>
        <v>3</v>
      </c>
      <c r="X25" s="66" t="n">
        <f aca="false">SUMPRODUCT(Code_Matrix!X$2:X$62,Code_Matrix!X$2:X$62)</f>
        <v>4</v>
      </c>
    </row>
  </sheetData>
  <conditionalFormatting sqref="B3:X25">
    <cfRule type="colorScale" priority="2">
      <colorScale>
        <cfvo type="num" val="0"/>
        <cfvo type="max" val="0"/>
        <color rgb="FFFFFFFF"/>
        <color rgb="FF2E75B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6" width="34"/>
    <col collapsed="false" customWidth="true" hidden="false" outlineLevel="0" max="2" min="2" style="56" width="26"/>
    <col collapsed="false" customWidth="true" hidden="false" outlineLevel="0" max="3" min="3" style="56" width="70"/>
  </cols>
  <sheetData>
    <row r="1" customFormat="false" ht="15" hidden="false" customHeight="true" outlineLevel="0" collapsed="false">
      <c r="A1" s="59" t="s">
        <v>1068</v>
      </c>
      <c r="B1" s="59" t="s">
        <v>1069</v>
      </c>
      <c r="C1" s="59" t="s">
        <v>1070</v>
      </c>
    </row>
    <row r="2" customFormat="false" ht="15" hidden="false" customHeight="true" outlineLevel="0" collapsed="false">
      <c r="A2" s="60" t="s">
        <v>1071</v>
      </c>
      <c r="B2" s="60" t="s">
        <v>1072</v>
      </c>
      <c r="C2" s="60" t="s">
        <v>1073</v>
      </c>
    </row>
    <row r="3" customFormat="false" ht="15" hidden="false" customHeight="true" outlineLevel="0" collapsed="false">
      <c r="A3" s="60" t="s">
        <v>1074</v>
      </c>
      <c r="B3" s="60" t="s">
        <v>1075</v>
      </c>
      <c r="C3" s="60" t="s">
        <v>1076</v>
      </c>
    </row>
    <row r="4" customFormat="false" ht="15" hidden="false" customHeight="true" outlineLevel="0" collapsed="false">
      <c r="A4" s="60" t="s">
        <v>1077</v>
      </c>
      <c r="B4" s="60" t="s">
        <v>1078</v>
      </c>
      <c r="C4" s="60" t="s">
        <v>1079</v>
      </c>
    </row>
    <row r="5" customFormat="false" ht="15" hidden="false" customHeight="true" outlineLevel="0" collapsed="false">
      <c r="A5" s="60" t="s">
        <v>1080</v>
      </c>
      <c r="B5" s="60" t="s">
        <v>1081</v>
      </c>
      <c r="C5" s="60" t="s">
        <v>1082</v>
      </c>
    </row>
    <row r="6" customFormat="false" ht="15" hidden="false" customHeight="true" outlineLevel="0" collapsed="false">
      <c r="A6" s="60" t="s">
        <v>1083</v>
      </c>
      <c r="B6" s="60" t="s">
        <v>1084</v>
      </c>
      <c r="C6" s="60" t="s">
        <v>1085</v>
      </c>
    </row>
    <row r="7" customFormat="false" ht="15" hidden="false" customHeight="true" outlineLevel="0" collapsed="false">
      <c r="A7" s="60" t="s">
        <v>1086</v>
      </c>
      <c r="B7" s="60" t="s">
        <v>1087</v>
      </c>
      <c r="C7" s="60" t="s">
        <v>1088</v>
      </c>
    </row>
    <row r="8" customFormat="false" ht="15" hidden="false" customHeight="true" outlineLevel="0" collapsed="false">
      <c r="A8" s="60" t="s">
        <v>1089</v>
      </c>
      <c r="B8" s="60" t="s">
        <v>1090</v>
      </c>
      <c r="C8" s="60" t="s">
        <v>1091</v>
      </c>
    </row>
    <row r="9" customFormat="false" ht="15" hidden="false" customHeight="true" outlineLevel="0" collapsed="false">
      <c r="A9" s="60" t="s">
        <v>1092</v>
      </c>
      <c r="B9" s="60" t="s">
        <v>1093</v>
      </c>
      <c r="C9" s="60" t="s">
        <v>1094</v>
      </c>
    </row>
    <row r="10" customFormat="false" ht="15" hidden="false" customHeight="true" outlineLevel="0" collapsed="false">
      <c r="A10" s="60" t="s">
        <v>1095</v>
      </c>
      <c r="B10" s="60" t="s">
        <v>1096</v>
      </c>
      <c r="C10" s="60" t="s">
        <v>1097</v>
      </c>
    </row>
    <row r="11" customFormat="false" ht="15" hidden="false" customHeight="true" outlineLevel="0" collapsed="false">
      <c r="A11" s="60" t="s">
        <v>1098</v>
      </c>
      <c r="B11" s="60" t="s">
        <v>1099</v>
      </c>
      <c r="C11" s="60" t="s">
        <v>1100</v>
      </c>
    </row>
    <row r="12" customFormat="false" ht="15" hidden="false" customHeight="true" outlineLevel="0" collapsed="false">
      <c r="A12" s="60" t="s">
        <v>993</v>
      </c>
      <c r="B12" s="60" t="s">
        <v>1101</v>
      </c>
      <c r="C12" s="60" t="s">
        <v>1102</v>
      </c>
    </row>
    <row r="13" customFormat="false" ht="15" hidden="false" customHeight="true" outlineLevel="0" collapsed="false">
      <c r="A13" s="60" t="s">
        <v>1103</v>
      </c>
      <c r="B13" s="60" t="s">
        <v>1104</v>
      </c>
      <c r="C13" s="60" t="s">
        <v>1105</v>
      </c>
    </row>
    <row r="14" customFormat="false" ht="15" hidden="false" customHeight="true" outlineLevel="0" collapsed="false">
      <c r="A14" s="60" t="s">
        <v>1106</v>
      </c>
      <c r="B14" s="60" t="s">
        <v>1107</v>
      </c>
      <c r="C14" s="60" t="s">
        <v>1108</v>
      </c>
    </row>
    <row r="15" customFormat="false" ht="15" hidden="false" customHeight="true" outlineLevel="0" collapsed="false">
      <c r="A15" s="60" t="s">
        <v>1109</v>
      </c>
      <c r="B15" s="60" t="s">
        <v>1110</v>
      </c>
      <c r="C15" s="60" t="s">
        <v>1111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56" width="50"/>
    <col collapsed="false" customWidth="true" hidden="false" outlineLevel="0" max="3" min="3" style="56" width="22"/>
    <col collapsed="false" customWidth="true" hidden="false" outlineLevel="0" max="4" min="4" style="56" width="80"/>
  </cols>
  <sheetData>
    <row r="1" customFormat="false" ht="15" hidden="false" customHeight="true" outlineLevel="0" collapsed="false">
      <c r="A1" s="59" t="s">
        <v>138</v>
      </c>
      <c r="B1" s="59" t="s">
        <v>139</v>
      </c>
      <c r="C1" s="59" t="s">
        <v>1112</v>
      </c>
      <c r="D1" s="59" t="s">
        <v>1113</v>
      </c>
    </row>
    <row r="2" customFormat="false" ht="26.25" hidden="false" customHeight="true" outlineLevel="0" collapsed="false">
      <c r="A2" s="60" t="n">
        <v>1</v>
      </c>
      <c r="B2" s="60" t="s">
        <v>172</v>
      </c>
      <c r="C2" s="60" t="s">
        <v>1114</v>
      </c>
      <c r="D2" s="60" t="s">
        <v>200</v>
      </c>
    </row>
    <row r="3" customFormat="false" ht="26.25" hidden="false" customHeight="true" outlineLevel="0" collapsed="false">
      <c r="A3" s="60" t="n">
        <v>2</v>
      </c>
      <c r="B3" s="60" t="s">
        <v>202</v>
      </c>
      <c r="C3" s="60" t="s">
        <v>280</v>
      </c>
      <c r="D3" s="60" t="s">
        <v>222</v>
      </c>
    </row>
    <row r="4" customFormat="false" ht="39" hidden="false" customHeight="true" outlineLevel="0" collapsed="false">
      <c r="A4" s="60" t="n">
        <v>4</v>
      </c>
      <c r="B4" s="60" t="s">
        <v>243</v>
      </c>
      <c r="C4" s="60" t="s">
        <v>280</v>
      </c>
      <c r="D4" s="60" t="s">
        <v>260</v>
      </c>
    </row>
    <row r="5" customFormat="false" ht="26.25" hidden="false" customHeight="true" outlineLevel="0" collapsed="false">
      <c r="A5" s="60" t="n">
        <v>5</v>
      </c>
      <c r="B5" s="60" t="s">
        <v>261</v>
      </c>
      <c r="C5" s="60" t="s">
        <v>1114</v>
      </c>
      <c r="D5" s="60" t="s">
        <v>281</v>
      </c>
    </row>
    <row r="6" customFormat="false" ht="15" hidden="false" customHeight="true" outlineLevel="0" collapsed="false">
      <c r="A6" s="60" t="n">
        <v>6</v>
      </c>
      <c r="B6" s="60" t="s">
        <v>283</v>
      </c>
      <c r="C6" s="60" t="s">
        <v>280</v>
      </c>
      <c r="D6" s="60" t="s">
        <v>300</v>
      </c>
    </row>
    <row r="7" customFormat="false" ht="39" hidden="false" customHeight="true" outlineLevel="0" collapsed="false">
      <c r="A7" s="60" t="n">
        <v>8</v>
      </c>
      <c r="B7" s="60" t="s">
        <v>322</v>
      </c>
      <c r="C7" s="60" t="s">
        <v>280</v>
      </c>
      <c r="D7" s="60" t="s">
        <v>339</v>
      </c>
    </row>
    <row r="8" customFormat="false" ht="26.25" hidden="false" customHeight="true" outlineLevel="0" collapsed="false">
      <c r="A8" s="60" t="n">
        <v>9</v>
      </c>
      <c r="B8" s="60" t="s">
        <v>341</v>
      </c>
      <c r="C8" s="60" t="s">
        <v>280</v>
      </c>
      <c r="D8" s="60" t="s">
        <v>353</v>
      </c>
    </row>
    <row r="9" customFormat="false" ht="39" hidden="false" customHeight="true" outlineLevel="0" collapsed="false">
      <c r="A9" s="60" t="n">
        <v>10</v>
      </c>
      <c r="B9" s="60" t="s">
        <v>354</v>
      </c>
      <c r="C9" s="60" t="s">
        <v>1114</v>
      </c>
      <c r="D9" s="60" t="s">
        <v>373</v>
      </c>
    </row>
    <row r="10" customFormat="false" ht="26.25" hidden="false" customHeight="true" outlineLevel="0" collapsed="false">
      <c r="A10" s="60" t="n">
        <v>11</v>
      </c>
      <c r="B10" s="60" t="s">
        <v>375</v>
      </c>
      <c r="C10" s="60" t="s">
        <v>1114</v>
      </c>
      <c r="D10" s="60" t="s">
        <v>388</v>
      </c>
    </row>
    <row r="11" customFormat="false" ht="39" hidden="false" customHeight="true" outlineLevel="0" collapsed="false">
      <c r="A11" s="60" t="n">
        <v>13</v>
      </c>
      <c r="B11" s="60" t="s">
        <v>403</v>
      </c>
      <c r="C11" s="60" t="s">
        <v>1114</v>
      </c>
      <c r="D11" s="60" t="s">
        <v>420</v>
      </c>
    </row>
    <row r="12" customFormat="false" ht="15" hidden="false" customHeight="true" outlineLevel="0" collapsed="false">
      <c r="A12" s="60" t="n">
        <v>14</v>
      </c>
      <c r="B12" s="60" t="s">
        <v>422</v>
      </c>
      <c r="C12" s="60" t="s">
        <v>280</v>
      </c>
      <c r="D12" s="60" t="s">
        <v>438</v>
      </c>
    </row>
    <row r="13" customFormat="false" ht="26.25" hidden="false" customHeight="true" outlineLevel="0" collapsed="false">
      <c r="A13" s="60" t="n">
        <v>15</v>
      </c>
      <c r="B13" s="60" t="s">
        <v>440</v>
      </c>
      <c r="C13" s="60" t="s">
        <v>1114</v>
      </c>
      <c r="D13" s="60" t="s">
        <v>457</v>
      </c>
    </row>
    <row r="14" customFormat="false" ht="26.25" hidden="false" customHeight="true" outlineLevel="0" collapsed="false">
      <c r="A14" s="60" t="n">
        <v>17</v>
      </c>
      <c r="B14" s="60" t="s">
        <v>470</v>
      </c>
      <c r="C14" s="60" t="s">
        <v>280</v>
      </c>
      <c r="D14" s="60" t="s">
        <v>485</v>
      </c>
    </row>
    <row r="15" customFormat="false" ht="26.25" hidden="false" customHeight="true" outlineLevel="0" collapsed="false">
      <c r="A15" s="60" t="n">
        <v>20</v>
      </c>
      <c r="B15" s="60" t="s">
        <v>515</v>
      </c>
      <c r="C15" s="60" t="s">
        <v>280</v>
      </c>
      <c r="D15" s="60" t="s">
        <v>528</v>
      </c>
    </row>
    <row r="16" customFormat="false" ht="26.25" hidden="false" customHeight="true" outlineLevel="0" collapsed="false">
      <c r="A16" s="60" t="n">
        <v>23</v>
      </c>
      <c r="B16" s="60" t="s">
        <v>556</v>
      </c>
      <c r="C16" s="60" t="s">
        <v>280</v>
      </c>
      <c r="D16" s="60" t="s">
        <v>565</v>
      </c>
    </row>
    <row r="17" customFormat="false" ht="26.25" hidden="false" customHeight="true" outlineLevel="0" collapsed="false">
      <c r="A17" s="60" t="n">
        <v>25</v>
      </c>
      <c r="B17" s="60" t="s">
        <v>583</v>
      </c>
      <c r="C17" s="60" t="s">
        <v>280</v>
      </c>
      <c r="D17" s="60" t="s">
        <v>598</v>
      </c>
    </row>
    <row r="18" customFormat="false" ht="26.25" hidden="false" customHeight="true" outlineLevel="0" collapsed="false">
      <c r="A18" s="60" t="n">
        <v>26</v>
      </c>
      <c r="B18" s="60" t="s">
        <v>600</v>
      </c>
      <c r="C18" s="60" t="s">
        <v>280</v>
      </c>
      <c r="D18" s="60" t="s">
        <v>610</v>
      </c>
    </row>
    <row r="19" customFormat="false" ht="15" hidden="false" customHeight="true" outlineLevel="0" collapsed="false">
      <c r="A19" s="60" t="n">
        <v>32</v>
      </c>
      <c r="B19" s="60" t="s">
        <v>677</v>
      </c>
      <c r="C19" s="60" t="s">
        <v>280</v>
      </c>
      <c r="D19" s="60" t="s">
        <v>690</v>
      </c>
    </row>
    <row r="20" customFormat="false" ht="26.25" hidden="false" customHeight="true" outlineLevel="0" collapsed="false">
      <c r="A20" s="60" t="n">
        <v>33</v>
      </c>
      <c r="B20" s="60" t="s">
        <v>692</v>
      </c>
      <c r="C20" s="60" t="s">
        <v>280</v>
      </c>
      <c r="D20" s="60" t="s">
        <v>702</v>
      </c>
    </row>
    <row r="21" customFormat="false" ht="15" hidden="false" customHeight="true" outlineLevel="0" collapsed="false">
      <c r="A21" s="60" t="n">
        <v>34</v>
      </c>
      <c r="B21" s="60" t="s">
        <v>704</v>
      </c>
      <c r="C21" s="60" t="s">
        <v>280</v>
      </c>
      <c r="D21" s="60" t="s">
        <v>717</v>
      </c>
    </row>
    <row r="22" customFormat="false" ht="26.25" hidden="false" customHeight="true" outlineLevel="0" collapsed="false">
      <c r="A22" s="60" t="n">
        <v>43</v>
      </c>
      <c r="B22" s="60" t="s">
        <v>825</v>
      </c>
      <c r="C22" s="60" t="s">
        <v>1114</v>
      </c>
      <c r="D22" s="60" t="s">
        <v>836</v>
      </c>
    </row>
    <row r="23" customFormat="false" ht="26.25" hidden="false" customHeight="true" outlineLevel="0" collapsed="false">
      <c r="A23" s="60" t="n">
        <v>44</v>
      </c>
      <c r="B23" s="60" t="s">
        <v>838</v>
      </c>
      <c r="C23" s="60" t="s">
        <v>280</v>
      </c>
      <c r="D23" s="60" t="s">
        <v>848</v>
      </c>
    </row>
    <row r="24" customFormat="false" ht="15" hidden="false" customHeight="true" outlineLevel="0" collapsed="false">
      <c r="A24" s="60" t="n">
        <v>47</v>
      </c>
      <c r="B24" s="60" t="s">
        <v>870</v>
      </c>
      <c r="C24" s="60" t="s">
        <v>280</v>
      </c>
      <c r="D24" s="60" t="s">
        <v>874</v>
      </c>
    </row>
    <row r="25" customFormat="false" ht="26.25" hidden="false" customHeight="true" outlineLevel="0" collapsed="false">
      <c r="A25" s="60" t="n">
        <v>49</v>
      </c>
      <c r="B25" s="60" t="s">
        <v>887</v>
      </c>
      <c r="C25" s="60" t="s">
        <v>1114</v>
      </c>
      <c r="D25" s="60" t="s">
        <v>901</v>
      </c>
    </row>
    <row r="26" customFormat="false" ht="26.25" hidden="false" customHeight="true" outlineLevel="0" collapsed="false">
      <c r="A26" s="60" t="n">
        <v>52</v>
      </c>
      <c r="B26" s="60" t="s">
        <v>928</v>
      </c>
      <c r="C26" s="60" t="s">
        <v>1114</v>
      </c>
      <c r="D26" s="60" t="s">
        <v>940</v>
      </c>
    </row>
    <row r="27" customFormat="false" ht="26.25" hidden="false" customHeight="true" outlineLevel="0" collapsed="false">
      <c r="A27" s="60" t="n">
        <v>55</v>
      </c>
      <c r="B27" s="60" t="s">
        <v>971</v>
      </c>
      <c r="C27" s="60" t="s">
        <v>1114</v>
      </c>
      <c r="D27" s="60" t="s">
        <v>987</v>
      </c>
    </row>
    <row r="28" customFormat="false" ht="15" hidden="false" customHeight="true" outlineLevel="0" collapsed="false">
      <c r="A28" s="60" t="n">
        <v>57</v>
      </c>
      <c r="B28" s="60" t="s">
        <v>1003</v>
      </c>
      <c r="C28" s="60" t="s">
        <v>280</v>
      </c>
      <c r="D28" s="60" t="s">
        <v>1015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6" width="28"/>
    <col collapsed="false" customWidth="true" hidden="false" outlineLevel="0" max="2" min="2" style="56" width="80"/>
    <col collapsed="false" customWidth="true" hidden="false" outlineLevel="0" max="3" min="3" style="56" width="20"/>
  </cols>
  <sheetData>
    <row r="1" customFormat="false" ht="15" hidden="false" customHeight="true" outlineLevel="0" collapsed="false">
      <c r="A1" s="59" t="s">
        <v>1115</v>
      </c>
      <c r="B1" s="59" t="s">
        <v>1116</v>
      </c>
      <c r="C1" s="59" t="s">
        <v>1117</v>
      </c>
    </row>
    <row r="2" customFormat="false" ht="15" hidden="false" customHeight="true" outlineLevel="0" collapsed="false">
      <c r="A2" s="60" t="s">
        <v>1118</v>
      </c>
      <c r="B2" s="60" t="s">
        <v>1119</v>
      </c>
      <c r="C2" s="60" t="s">
        <v>198</v>
      </c>
    </row>
    <row r="3" customFormat="false" ht="15" hidden="false" customHeight="true" outlineLevel="0" collapsed="false">
      <c r="A3" s="60" t="s">
        <v>1120</v>
      </c>
      <c r="B3" s="60" t="s">
        <v>1121</v>
      </c>
      <c r="C3" s="60" t="s">
        <v>1122</v>
      </c>
    </row>
    <row r="4" customFormat="false" ht="15" hidden="false" customHeight="true" outlineLevel="0" collapsed="false">
      <c r="A4" s="60" t="s">
        <v>1123</v>
      </c>
      <c r="B4" s="60" t="s">
        <v>1124</v>
      </c>
      <c r="C4" s="60" t="s">
        <v>1125</v>
      </c>
    </row>
    <row r="5" customFormat="false" ht="15" hidden="false" customHeight="true" outlineLevel="0" collapsed="false">
      <c r="A5" s="60" t="s">
        <v>1126</v>
      </c>
      <c r="B5" s="60" t="s">
        <v>1127</v>
      </c>
      <c r="C5" s="60" t="s">
        <v>1128</v>
      </c>
    </row>
    <row r="6" customFormat="false" ht="15" hidden="false" customHeight="true" outlineLevel="0" collapsed="false">
      <c r="A6" s="60" t="s">
        <v>1129</v>
      </c>
      <c r="B6" s="60" t="s">
        <v>1130</v>
      </c>
      <c r="C6" s="60" t="s">
        <v>1131</v>
      </c>
    </row>
    <row r="7" customFormat="false" ht="15" hidden="false" customHeight="true" outlineLevel="0" collapsed="false">
      <c r="A7" s="60" t="s">
        <v>1132</v>
      </c>
      <c r="B7" s="60" t="s">
        <v>1133</v>
      </c>
      <c r="C7" s="60" t="s">
        <v>1134</v>
      </c>
    </row>
    <row r="8" customFormat="false" ht="15" hidden="false" customHeight="true" outlineLevel="0" collapsed="false">
      <c r="A8" s="60" t="s">
        <v>1135</v>
      </c>
      <c r="B8" s="60" t="s">
        <v>1136</v>
      </c>
      <c r="C8" s="60" t="s">
        <v>1137</v>
      </c>
    </row>
    <row r="9" customFormat="false" ht="15" hidden="false" customHeight="true" outlineLevel="0" collapsed="false">
      <c r="A9" s="60" t="s">
        <v>1138</v>
      </c>
      <c r="B9" s="60" t="s">
        <v>1139</v>
      </c>
      <c r="C9" s="60" t="s">
        <v>1140</v>
      </c>
    </row>
    <row r="10" customFormat="false" ht="15" hidden="false" customHeight="true" outlineLevel="0" collapsed="false">
      <c r="A10" s="60" t="s">
        <v>1141</v>
      </c>
      <c r="B10" s="60" t="s">
        <v>1142</v>
      </c>
      <c r="C10" s="60" t="s">
        <v>1143</v>
      </c>
    </row>
    <row r="11" customFormat="false" ht="15" hidden="false" customHeight="true" outlineLevel="0" collapsed="false">
      <c r="A11" s="60" t="s">
        <v>1144</v>
      </c>
      <c r="B11" s="60" t="s">
        <v>1145</v>
      </c>
      <c r="C11" s="60" t="s">
        <v>1146</v>
      </c>
    </row>
    <row r="12" customFormat="false" ht="15" hidden="false" customHeight="true" outlineLevel="0" collapsed="false">
      <c r="A12" s="60" t="s">
        <v>1147</v>
      </c>
      <c r="B12" s="60" t="s">
        <v>1148</v>
      </c>
      <c r="C12" s="60" t="s">
        <v>1149</v>
      </c>
    </row>
    <row r="13" customFormat="false" ht="26.25" hidden="false" customHeight="true" outlineLevel="0" collapsed="false">
      <c r="A13" s="60" t="s">
        <v>1150</v>
      </c>
      <c r="B13" s="60" t="s">
        <v>1151</v>
      </c>
      <c r="C13" s="60" t="s">
        <v>1149</v>
      </c>
    </row>
    <row r="14" customFormat="false" ht="15" hidden="false" customHeight="true" outlineLevel="0" collapsed="false">
      <c r="A14" s="60" t="s">
        <v>1152</v>
      </c>
      <c r="B14" s="60" t="s">
        <v>1153</v>
      </c>
      <c r="C14" s="60" t="s">
        <v>1154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12"/>
    <col collapsed="false" customWidth="true" hidden="false" outlineLevel="0" max="4" min="4" style="0" width="3"/>
    <col collapsed="false" customWidth="true" hidden="false" outlineLevel="0" max="5" min="5" style="0" width="12"/>
    <col collapsed="false" customWidth="true" hidden="false" outlineLevel="0" max="6" min="6" style="0" width="16"/>
    <col collapsed="false" customWidth="true" hidden="false" outlineLevel="0" max="7" min="7" style="0" width="3"/>
    <col collapsed="false" customWidth="true" hidden="false" outlineLevel="0" max="8" min="8" style="0" width="26"/>
    <col collapsed="false" customWidth="true" hidden="false" outlineLevel="0" max="9" min="9" style="0" width="11"/>
    <col collapsed="false" customWidth="true" hidden="false" outlineLevel="0" max="13" min="10" style="0" width="10"/>
  </cols>
  <sheetData>
    <row r="1" customFormat="false" ht="15" hidden="false" customHeight="false" outlineLevel="0" collapsed="false">
      <c r="A1" s="67" t="s">
        <v>1155</v>
      </c>
      <c r="B1" s="67" t="s">
        <v>86</v>
      </c>
      <c r="C1" s="67" t="s">
        <v>1062</v>
      </c>
      <c r="E1" s="67" t="s">
        <v>163</v>
      </c>
      <c r="F1" s="67" t="s">
        <v>89</v>
      </c>
      <c r="H1" s="67" t="s">
        <v>1156</v>
      </c>
      <c r="I1" s="67" t="s">
        <v>1157</v>
      </c>
      <c r="J1" s="67" t="s">
        <v>318</v>
      </c>
      <c r="K1" s="67" t="s">
        <v>193</v>
      </c>
      <c r="L1" s="67" t="s">
        <v>277</v>
      </c>
      <c r="M1" s="67" t="s">
        <v>777</v>
      </c>
    </row>
    <row r="2" customFormat="false" ht="15" hidden="false" customHeight="false" outlineLevel="0" collapsed="false">
      <c r="A2" s="68" t="s">
        <v>49</v>
      </c>
      <c r="B2" s="68" t="s">
        <v>106</v>
      </c>
      <c r="C2" s="68" t="n">
        <f aca="false">INDEX(Frequencies!$C$2:$C$24,MATCH(B2,Frequencies!$A$2:$A$24,0))</f>
        <v>1</v>
      </c>
      <c r="E2" s="68" t="s">
        <v>277</v>
      </c>
      <c r="F2" s="68" t="n">
        <f aca="false">COUNTIF(Master_Dataset!$Z$2:$Z$62,"Mixed")</f>
        <v>25</v>
      </c>
      <c r="H2" s="68" t="s">
        <v>35</v>
      </c>
      <c r="I2" s="68" t="n">
        <f aca="false">SUMPRODUCT(--((Code_Matrix!B$2:B$62+Code_Matrix!C$2:C$62+Code_Matrix!D$2:D$62)&gt;0))</f>
        <v>27</v>
      </c>
      <c r="J2" s="68" t="n">
        <f aca="false">SUMPRODUCT(--((Code_Matrix!B$2:B$62+Code_Matrix!C$2:C$62+Code_Matrix!D$2:D$62)&gt;0),--(Master_Dataset!$Z$2:$Z$62="Positive"))</f>
        <v>6</v>
      </c>
      <c r="K2" s="68" t="n">
        <f aca="false">SUMPRODUCT(--((Code_Matrix!B$2:B$62+Code_Matrix!C$2:C$62+Code_Matrix!D$2:D$62)&gt;0),--(Master_Dataset!$Z$2:$Z$62="Negative"))</f>
        <v>9</v>
      </c>
      <c r="L2" s="68" t="n">
        <f aca="false">SUMPRODUCT(--((Code_Matrix!B$2:B$62+Code_Matrix!C$2:C$62+Code_Matrix!D$2:D$62)&gt;0),--(Master_Dataset!$Z$2:$Z$62="Mixed"))</f>
        <v>10</v>
      </c>
      <c r="M2" s="68" t="n">
        <f aca="false">SUMPRODUCT(--((Code_Matrix!B$2:B$62+Code_Matrix!C$2:C$62+Code_Matrix!D$2:D$62)&gt;0),--(Master_Dataset!$Z$2:$Z$62="Neutral"))</f>
        <v>2</v>
      </c>
    </row>
    <row r="3" customFormat="false" ht="15" hidden="false" customHeight="false" outlineLevel="0" collapsed="false">
      <c r="A3" s="68" t="s">
        <v>47</v>
      </c>
      <c r="B3" s="68" t="s">
        <v>101</v>
      </c>
      <c r="C3" s="68" t="n">
        <f aca="false">INDEX(Frequencies!$C$2:$C$24,MATCH(B3,Frequencies!$A$2:$A$24,0))</f>
        <v>2</v>
      </c>
      <c r="E3" s="68" t="s">
        <v>193</v>
      </c>
      <c r="F3" s="68" t="n">
        <f aca="false">COUNTIF(Master_Dataset!$Z$2:$Z$62,"Negative")</f>
        <v>19</v>
      </c>
      <c r="H3" s="68" t="s">
        <v>36</v>
      </c>
      <c r="I3" s="68" t="n">
        <f aca="false">SUMPRODUCT(--((Code_Matrix!E$2:E$62+Code_Matrix!F$2:F$62+Code_Matrix!G$2:G$62+Code_Matrix!H$2:H$62+Code_Matrix!I$2:I$62)&gt;0))</f>
        <v>18</v>
      </c>
      <c r="J3" s="68" t="n">
        <f aca="false">SUMPRODUCT(--((Code_Matrix!E$2:E$62+Code_Matrix!F$2:F$62+Code_Matrix!G$2:G$62+Code_Matrix!H$2:H$62+Code_Matrix!I$2:I$62)&gt;0),--(Master_Dataset!$Z$2:$Z$62="Positive"))</f>
        <v>2</v>
      </c>
      <c r="K3" s="68" t="n">
        <f aca="false">SUMPRODUCT(--((Code_Matrix!E$2:E$62+Code_Matrix!F$2:F$62+Code_Matrix!G$2:G$62+Code_Matrix!H$2:H$62+Code_Matrix!I$2:I$62)&gt;0),--(Master_Dataset!$Z$2:$Z$62="Negative"))</f>
        <v>11</v>
      </c>
      <c r="L3" s="68" t="n">
        <f aca="false">SUMPRODUCT(--((Code_Matrix!E$2:E$62+Code_Matrix!F$2:F$62+Code_Matrix!G$2:G$62+Code_Matrix!H$2:H$62+Code_Matrix!I$2:I$62)&gt;0),--(Master_Dataset!$Z$2:$Z$62="Mixed"))</f>
        <v>5</v>
      </c>
      <c r="M3" s="68" t="n">
        <f aca="false">SUMPRODUCT(--((Code_Matrix!E$2:E$62+Code_Matrix!F$2:F$62+Code_Matrix!G$2:G$62+Code_Matrix!H$2:H$62+Code_Matrix!I$2:I$62)&gt;0),--(Master_Dataset!$Z$2:$Z$62="Neutral"))</f>
        <v>0</v>
      </c>
    </row>
    <row r="4" customFormat="false" ht="15" hidden="false" customHeight="false" outlineLevel="0" collapsed="false">
      <c r="A4" s="68" t="s">
        <v>48</v>
      </c>
      <c r="B4" s="68" t="s">
        <v>104</v>
      </c>
      <c r="C4" s="68" t="n">
        <f aca="false">INDEX(Frequencies!$C$2:$C$24,MATCH(B4,Frequencies!$A$2:$A$24,0))</f>
        <v>4</v>
      </c>
      <c r="E4" s="68" t="s">
        <v>318</v>
      </c>
      <c r="F4" s="68" t="n">
        <f aca="false">COUNTIF(Master_Dataset!$Z$2:$Z$62,"Positive")</f>
        <v>15</v>
      </c>
      <c r="H4" s="68" t="s">
        <v>37</v>
      </c>
      <c r="I4" s="68" t="n">
        <f aca="false">SUMPRODUCT(--((Code_Matrix!J$2:J$62+Code_Matrix!K$2:K$62+Code_Matrix!L$2:L$62)&gt;0))</f>
        <v>13</v>
      </c>
      <c r="J4" s="68" t="n">
        <f aca="false">SUMPRODUCT(--((Code_Matrix!J$2:J$62+Code_Matrix!K$2:K$62+Code_Matrix!L$2:L$62)&gt;0),--(Master_Dataset!$Z$2:$Z$62="Positive"))</f>
        <v>4</v>
      </c>
      <c r="K4" s="68" t="n">
        <f aca="false">SUMPRODUCT(--((Code_Matrix!J$2:J$62+Code_Matrix!K$2:K$62+Code_Matrix!L$2:L$62)&gt;0),--(Master_Dataset!$Z$2:$Z$62="Negative"))</f>
        <v>4</v>
      </c>
      <c r="L4" s="68" t="n">
        <f aca="false">SUMPRODUCT(--((Code_Matrix!J$2:J$62+Code_Matrix!K$2:K$62+Code_Matrix!L$2:L$62)&gt;0),--(Master_Dataset!$Z$2:$Z$62="Mixed"))</f>
        <v>5</v>
      </c>
      <c r="M4" s="68" t="n">
        <f aca="false">SUMPRODUCT(--((Code_Matrix!J$2:J$62+Code_Matrix!K$2:K$62+Code_Matrix!L$2:L$62)&gt;0),--(Master_Dataset!$Z$2:$Z$62="Neutral"))</f>
        <v>0</v>
      </c>
    </row>
    <row r="5" customFormat="false" ht="15" hidden="false" customHeight="false" outlineLevel="0" collapsed="false">
      <c r="A5" s="68" t="s">
        <v>54</v>
      </c>
      <c r="B5" s="68" t="s">
        <v>112</v>
      </c>
      <c r="C5" s="68" t="n">
        <f aca="false">INDEX(Frequencies!$C$2:$C$24,MATCH(B5,Frequencies!$A$2:$A$24,0))</f>
        <v>4</v>
      </c>
      <c r="E5" s="68" t="s">
        <v>777</v>
      </c>
      <c r="F5" s="68" t="n">
        <f aca="false">COUNTIF(Master_Dataset!$Z$2:$Z$62,"Neutral")</f>
        <v>2</v>
      </c>
      <c r="H5" s="68" t="s">
        <v>38</v>
      </c>
      <c r="I5" s="68" t="n">
        <f aca="false">SUMPRODUCT(--((Code_Matrix!M$2:M$62+Code_Matrix!N$2:N$62)&gt;0))</f>
        <v>8</v>
      </c>
      <c r="J5" s="68" t="n">
        <f aca="false">SUMPRODUCT(--((Code_Matrix!M$2:M$62+Code_Matrix!N$2:N$62)&gt;0),--(Master_Dataset!$Z$2:$Z$62="Positive"))</f>
        <v>3</v>
      </c>
      <c r="K5" s="68" t="n">
        <f aca="false">SUMPRODUCT(--((Code_Matrix!M$2:M$62+Code_Matrix!N$2:N$62)&gt;0),--(Master_Dataset!$Z$2:$Z$62="Negative"))</f>
        <v>1</v>
      </c>
      <c r="L5" s="68" t="n">
        <f aca="false">SUMPRODUCT(--((Code_Matrix!M$2:M$62+Code_Matrix!N$2:N$62)&gt;0),--(Master_Dataset!$Z$2:$Z$62="Mixed"))</f>
        <v>4</v>
      </c>
      <c r="M5" s="68" t="n">
        <f aca="false">SUMPRODUCT(--((Code_Matrix!M$2:M$62+Code_Matrix!N$2:N$62)&gt;0),--(Master_Dataset!$Z$2:$Z$62="Neutral"))</f>
        <v>0</v>
      </c>
    </row>
    <row r="6" customFormat="false" ht="15" hidden="false" customHeight="false" outlineLevel="0" collapsed="false">
      <c r="A6" s="68" t="s">
        <v>60</v>
      </c>
      <c r="B6" s="68" t="s">
        <v>116</v>
      </c>
      <c r="C6" s="68" t="n">
        <f aca="false">INDEX(Frequencies!$C$2:$C$24,MATCH(B6,Frequencies!$A$2:$A$24,0))</f>
        <v>4</v>
      </c>
      <c r="H6" s="68" t="s">
        <v>39</v>
      </c>
      <c r="I6" s="68" t="n">
        <f aca="false">SUMPRODUCT(--((Code_Matrix!O$2:O$62+Code_Matrix!P$2:P$62+Code_Matrix!Q$2:Q$62+Code_Matrix!R$2:R$62)&gt;0))</f>
        <v>31</v>
      </c>
      <c r="J6" s="68" t="n">
        <f aca="false">SUMPRODUCT(--((Code_Matrix!O$2:O$62+Code_Matrix!P$2:P$62+Code_Matrix!Q$2:Q$62+Code_Matrix!R$2:R$62)&gt;0),--(Master_Dataset!$Z$2:$Z$62="Positive"))</f>
        <v>11</v>
      </c>
      <c r="K6" s="68" t="n">
        <f aca="false">SUMPRODUCT(--((Code_Matrix!O$2:O$62+Code_Matrix!P$2:P$62+Code_Matrix!Q$2:Q$62+Code_Matrix!R$2:R$62)&gt;0),--(Master_Dataset!$Z$2:$Z$62="Negative"))</f>
        <v>4</v>
      </c>
      <c r="L6" s="68" t="n">
        <f aca="false">SUMPRODUCT(--((Code_Matrix!O$2:O$62+Code_Matrix!P$2:P$62+Code_Matrix!Q$2:Q$62+Code_Matrix!R$2:R$62)&gt;0),--(Master_Dataset!$Z$2:$Z$62="Mixed"))</f>
        <v>14</v>
      </c>
      <c r="M6" s="68" t="n">
        <f aca="false">SUMPRODUCT(--((Code_Matrix!O$2:O$62+Code_Matrix!P$2:P$62+Code_Matrix!Q$2:Q$62+Code_Matrix!R$2:R$62)&gt;0),--(Master_Dataset!$Z$2:$Z$62="Neutral"))</f>
        <v>2</v>
      </c>
    </row>
    <row r="7" customFormat="false" ht="15" hidden="false" customHeight="false" outlineLevel="0" collapsed="false">
      <c r="A7" s="68" t="s">
        <v>66</v>
      </c>
      <c r="B7" s="68" t="s">
        <v>126</v>
      </c>
      <c r="C7" s="68" t="n">
        <f aca="false">INDEX(Frequencies!$C$2:$C$24,MATCH(B7,Frequencies!$A$2:$A$24,0))</f>
        <v>4</v>
      </c>
      <c r="H7" s="68" t="s">
        <v>40</v>
      </c>
      <c r="I7" s="68" t="n">
        <f aca="false">SUMPRODUCT(--((Code_Matrix!S$2:S$62+Code_Matrix!T$2:T$62)&gt;0))</f>
        <v>8</v>
      </c>
      <c r="J7" s="68" t="n">
        <f aca="false">SUMPRODUCT(--((Code_Matrix!S$2:S$62+Code_Matrix!T$2:T$62)&gt;0),--(Master_Dataset!$Z$2:$Z$62="Positive"))</f>
        <v>3</v>
      </c>
      <c r="K7" s="68" t="n">
        <f aca="false">SUMPRODUCT(--((Code_Matrix!S$2:S$62+Code_Matrix!T$2:T$62)&gt;0),--(Master_Dataset!$Z$2:$Z$62="Negative"))</f>
        <v>3</v>
      </c>
      <c r="L7" s="68" t="n">
        <f aca="false">SUMPRODUCT(--((Code_Matrix!S$2:S$62+Code_Matrix!T$2:T$62)&gt;0),--(Master_Dataset!$Z$2:$Z$62="Mixed"))</f>
        <v>2</v>
      </c>
      <c r="M7" s="68" t="n">
        <f aca="false">SUMPRODUCT(--((Code_Matrix!S$2:S$62+Code_Matrix!T$2:T$62)&gt;0),--(Master_Dataset!$Z$2:$Z$62="Neutral"))</f>
        <v>0</v>
      </c>
    </row>
    <row r="8" customFormat="false" ht="15" hidden="false" customHeight="false" outlineLevel="0" collapsed="false">
      <c r="A8" s="68" t="s">
        <v>68</v>
      </c>
      <c r="B8" s="68" t="s">
        <v>130</v>
      </c>
      <c r="C8" s="68" t="n">
        <f aca="false">INDEX(Frequencies!$C$2:$C$24,MATCH(B8,Frequencies!$A$2:$A$24,0))</f>
        <v>4</v>
      </c>
      <c r="E8" s="67" t="s">
        <v>167</v>
      </c>
      <c r="F8" s="67" t="s">
        <v>89</v>
      </c>
      <c r="H8" s="68" t="s">
        <v>41</v>
      </c>
      <c r="I8" s="68" t="n">
        <f aca="false">SUMPRODUCT(--((Code_Matrix!U$2:U$62+Code_Matrix!V$2:V$62)&gt;0))</f>
        <v>7</v>
      </c>
      <c r="J8" s="68" t="n">
        <f aca="false">SUMPRODUCT(--((Code_Matrix!U$2:U$62+Code_Matrix!V$2:V$62)&gt;0),--(Master_Dataset!$Z$2:$Z$62="Positive"))</f>
        <v>1</v>
      </c>
      <c r="K8" s="68" t="n">
        <f aca="false">SUMPRODUCT(--((Code_Matrix!U$2:U$62+Code_Matrix!V$2:V$62)&gt;0),--(Master_Dataset!$Z$2:$Z$62="Negative"))</f>
        <v>4</v>
      </c>
      <c r="L8" s="68" t="n">
        <f aca="false">SUMPRODUCT(--((Code_Matrix!U$2:U$62+Code_Matrix!V$2:V$62)&gt;0),--(Master_Dataset!$Z$2:$Z$62="Mixed"))</f>
        <v>2</v>
      </c>
      <c r="M8" s="68" t="n">
        <f aca="false">SUMPRODUCT(--((Code_Matrix!U$2:U$62+Code_Matrix!V$2:V$62)&gt;0),--(Master_Dataset!$Z$2:$Z$62="Neutral"))</f>
        <v>0</v>
      </c>
    </row>
    <row r="9" customFormat="false" ht="15" hidden="false" customHeight="false" outlineLevel="0" collapsed="false">
      <c r="A9" s="68" t="s">
        <v>31</v>
      </c>
      <c r="B9" s="68" t="s">
        <v>132</v>
      </c>
      <c r="C9" s="68" t="n">
        <f aca="false">INDEX(Frequencies!$C$2:$C$24,MATCH(B9,Frequencies!$A$2:$A$24,0))</f>
        <v>4</v>
      </c>
      <c r="E9" s="68" t="s">
        <v>197</v>
      </c>
      <c r="F9" s="68" t="n">
        <f aca="false">COUNTIF(Master_Dataset!$AD$2:$AD$62,"High")</f>
        <v>45</v>
      </c>
      <c r="H9" s="68" t="s">
        <v>42</v>
      </c>
      <c r="I9" s="68" t="n">
        <f aca="false">SUMPRODUCT(--((Code_Matrix!W$2:W$62+Code_Matrix!X$2:X$62)&gt;0))</f>
        <v>18</v>
      </c>
      <c r="J9" s="68" t="n">
        <f aca="false">SUMPRODUCT(--((Code_Matrix!W$2:W$62+Code_Matrix!X$2:X$62)&gt;0),--(Master_Dataset!$Z$2:$Z$62="Positive"))</f>
        <v>5</v>
      </c>
      <c r="K9" s="68" t="n">
        <f aca="false">SUMPRODUCT(--((Code_Matrix!W$2:W$62+Code_Matrix!X$2:X$62)&gt;0),--(Master_Dataset!$Z$2:$Z$62="Negative"))</f>
        <v>3</v>
      </c>
      <c r="L9" s="68" t="n">
        <f aca="false">SUMPRODUCT(--((Code_Matrix!W$2:W$62+Code_Matrix!X$2:X$62)&gt;0),--(Master_Dataset!$Z$2:$Z$62="Mixed"))</f>
        <v>10</v>
      </c>
      <c r="M9" s="68" t="n">
        <f aca="false">SUMPRODUCT(--((Code_Matrix!W$2:W$62+Code_Matrix!X$2:X$62)&gt;0),--(Master_Dataset!$Z$2:$Z$62="Neutral"))</f>
        <v>0</v>
      </c>
    </row>
    <row r="10" customFormat="false" ht="15" hidden="false" customHeight="false" outlineLevel="0" collapsed="false">
      <c r="A10" s="68" t="s">
        <v>73</v>
      </c>
      <c r="B10" s="68" t="s">
        <v>136</v>
      </c>
      <c r="C10" s="68" t="n">
        <f aca="false">INDEX(Frequencies!$C$2:$C$24,MATCH(B10,Frequencies!$A$2:$A$24,0))</f>
        <v>4</v>
      </c>
      <c r="E10" s="68" t="s">
        <v>280</v>
      </c>
      <c r="F10" s="68" t="n">
        <f aca="false">COUNTIF(Master_Dataset!$AD$2:$AD$62,"Medium")</f>
        <v>11</v>
      </c>
    </row>
    <row r="11" customFormat="false" ht="15" hidden="false" customHeight="false" outlineLevel="0" collapsed="false">
      <c r="A11" s="68" t="s">
        <v>55</v>
      </c>
      <c r="B11" s="68" t="s">
        <v>114</v>
      </c>
      <c r="C11" s="68" t="n">
        <f aca="false">INDEX(Frequencies!$C$2:$C$24,MATCH(B11,Frequencies!$A$2:$A$24,0))</f>
        <v>5</v>
      </c>
      <c r="E11" s="68" t="s">
        <v>270</v>
      </c>
      <c r="F11" s="68" t="n">
        <f aca="false">COUNTIF(Master_Dataset!$AD$2:$AD$62,"Low")</f>
        <v>5</v>
      </c>
    </row>
    <row r="12" customFormat="false" ht="15" hidden="false" customHeight="false" outlineLevel="0" collapsed="false">
      <c r="A12" s="68" t="s">
        <v>67</v>
      </c>
      <c r="B12" s="68" t="s">
        <v>128</v>
      </c>
      <c r="C12" s="68" t="n">
        <f aca="false">INDEX(Frequencies!$C$2:$C$24,MATCH(B12,Frequencies!$A$2:$A$24,0))</f>
        <v>5</v>
      </c>
      <c r="E12" s="67" t="s">
        <v>87</v>
      </c>
      <c r="F12" s="67" t="s">
        <v>1158</v>
      </c>
      <c r="H12" s="67" t="s">
        <v>1159</v>
      </c>
      <c r="I12" s="67" t="s">
        <v>1160</v>
      </c>
    </row>
    <row r="13" customFormat="false" ht="15" hidden="false" customHeight="false" outlineLevel="0" collapsed="false">
      <c r="A13" s="68" t="s">
        <v>30</v>
      </c>
      <c r="B13" s="68" t="s">
        <v>99</v>
      </c>
      <c r="C13" s="68" t="n">
        <f aca="false">INDEX(Frequencies!$C$2:$C$24,MATCH(B13,Frequencies!$A$2:$A$24,0))</f>
        <v>7</v>
      </c>
      <c r="E13" s="68" t="s">
        <v>91</v>
      </c>
      <c r="F13" s="68" t="n">
        <f aca="false">SUMIF(Frequencies!$B$2:$B$24,"Deductive",Frequencies!$C$2:$C$24)</f>
        <v>122</v>
      </c>
      <c r="H13" s="68" t="s">
        <v>1071</v>
      </c>
      <c r="I13" s="68" t="n">
        <v>8</v>
      </c>
    </row>
    <row r="14" customFormat="false" ht="15" hidden="false" customHeight="false" outlineLevel="0" collapsed="false">
      <c r="A14" s="68" t="s">
        <v>61</v>
      </c>
      <c r="B14" s="68" t="s">
        <v>120</v>
      </c>
      <c r="C14" s="68" t="n">
        <f aca="false">INDEX(Frequencies!$C$2:$C$24,MATCH(B14,Frequencies!$A$2:$A$24,0))</f>
        <v>7</v>
      </c>
      <c r="E14" s="68" t="s">
        <v>102</v>
      </c>
      <c r="F14" s="68" t="n">
        <f aca="false">SUMIF(Frequencies!$B$2:$B$24,"Emergent",Frequencies!$C$2:$C$24)</f>
        <v>43</v>
      </c>
      <c r="H14" s="68" t="s">
        <v>1074</v>
      </c>
      <c r="I14" s="68" t="n">
        <v>6</v>
      </c>
    </row>
    <row r="15" customFormat="false" ht="15" hidden="false" customHeight="false" outlineLevel="0" collapsed="false">
      <c r="A15" s="68" t="s">
        <v>22</v>
      </c>
      <c r="B15" s="68" t="s">
        <v>93</v>
      </c>
      <c r="C15" s="68" t="n">
        <f aca="false">INDEX(Frequencies!$C$2:$C$24,MATCH(B15,Frequencies!$A$2:$A$24,0))</f>
        <v>8</v>
      </c>
      <c r="H15" s="68" t="s">
        <v>1077</v>
      </c>
      <c r="I15" s="68" t="n">
        <v>8</v>
      </c>
    </row>
    <row r="16" customFormat="false" ht="15" hidden="false" customHeight="false" outlineLevel="0" collapsed="false">
      <c r="A16" s="68" t="s">
        <v>26</v>
      </c>
      <c r="B16" s="68" t="s">
        <v>108</v>
      </c>
      <c r="C16" s="68" t="n">
        <f aca="false">INDEX(Frequencies!$C$2:$C$24,MATCH(B16,Frequencies!$A$2:$A$24,0))</f>
        <v>8</v>
      </c>
      <c r="H16" s="68" t="s">
        <v>1080</v>
      </c>
      <c r="I16" s="68" t="n">
        <v>7</v>
      </c>
    </row>
    <row r="17" customFormat="false" ht="15" hidden="false" customHeight="false" outlineLevel="0" collapsed="false">
      <c r="A17" s="68" t="s">
        <v>27</v>
      </c>
      <c r="B17" s="68" t="s">
        <v>110</v>
      </c>
      <c r="C17" s="68" t="n">
        <f aca="false">INDEX(Frequencies!$C$2:$C$24,MATCH(B17,Frequencies!$A$2:$A$24,0))</f>
        <v>8</v>
      </c>
      <c r="H17" s="68" t="s">
        <v>1083</v>
      </c>
      <c r="I17" s="68" t="n">
        <v>4</v>
      </c>
    </row>
    <row r="18" customFormat="false" ht="15" hidden="false" customHeight="false" outlineLevel="0" collapsed="false">
      <c r="A18" s="68" t="s">
        <v>24</v>
      </c>
      <c r="B18" s="68" t="s">
        <v>95</v>
      </c>
      <c r="C18" s="68" t="n">
        <f aca="false">INDEX(Frequencies!$C$2:$C$24,MATCH(B18,Frequencies!$A$2:$A$24,0))</f>
        <v>9</v>
      </c>
      <c r="H18" s="68" t="s">
        <v>1086</v>
      </c>
      <c r="I18" s="68" t="n">
        <v>5</v>
      </c>
    </row>
    <row r="19" customFormat="false" ht="15" hidden="false" customHeight="false" outlineLevel="0" collapsed="false">
      <c r="A19" s="68" t="s">
        <v>28</v>
      </c>
      <c r="B19" s="68" t="s">
        <v>118</v>
      </c>
      <c r="C19" s="68" t="n">
        <f aca="false">INDEX(Frequencies!$C$2:$C$24,MATCH(B19,Frequencies!$A$2:$A$24,0))</f>
        <v>10</v>
      </c>
      <c r="H19" s="68" t="s">
        <v>1089</v>
      </c>
      <c r="I19" s="68" t="n">
        <v>7</v>
      </c>
    </row>
    <row r="20" customFormat="false" ht="15" hidden="false" customHeight="false" outlineLevel="0" collapsed="false">
      <c r="A20" s="68" t="s">
        <v>32</v>
      </c>
      <c r="B20" s="68" t="s">
        <v>124</v>
      </c>
      <c r="C20" s="68" t="n">
        <f aca="false">INDEX(Frequencies!$C$2:$C$24,MATCH(B20,Frequencies!$A$2:$A$24,0))</f>
        <v>10</v>
      </c>
      <c r="H20" s="68" t="s">
        <v>1092</v>
      </c>
      <c r="I20" s="68" t="n">
        <v>8</v>
      </c>
    </row>
    <row r="21" customFormat="false" ht="15" hidden="false" customHeight="false" outlineLevel="0" collapsed="false">
      <c r="A21" s="68" t="s">
        <v>25</v>
      </c>
      <c r="B21" s="68" t="s">
        <v>97</v>
      </c>
      <c r="C21" s="68" t="n">
        <f aca="false">INDEX(Frequencies!$C$2:$C$24,MATCH(B21,Frequencies!$A$2:$A$24,0))</f>
        <v>11</v>
      </c>
      <c r="H21" s="68" t="s">
        <v>1095</v>
      </c>
      <c r="I21" s="68" t="n">
        <v>6</v>
      </c>
    </row>
    <row r="22" customFormat="false" ht="15" hidden="false" customHeight="false" outlineLevel="0" collapsed="false">
      <c r="A22" s="68" t="s">
        <v>29</v>
      </c>
      <c r="B22" s="68" t="s">
        <v>122</v>
      </c>
      <c r="C22" s="68" t="n">
        <f aca="false">INDEX(Frequencies!$C$2:$C$24,MATCH(B22,Frequencies!$A$2:$A$24,0))</f>
        <v>11</v>
      </c>
      <c r="H22" s="68" t="s">
        <v>1098</v>
      </c>
      <c r="I22" s="68" t="n">
        <v>7</v>
      </c>
    </row>
    <row r="23" customFormat="false" ht="15" hidden="false" customHeight="false" outlineLevel="0" collapsed="false">
      <c r="A23" s="68" t="s">
        <v>23</v>
      </c>
      <c r="B23" s="68" t="s">
        <v>134</v>
      </c>
      <c r="C23" s="68" t="n">
        <f aca="false">INDEX(Frequencies!$C$2:$C$24,MATCH(B23,Frequencies!$A$2:$A$24,0))</f>
        <v>17</v>
      </c>
      <c r="H23" s="68" t="s">
        <v>993</v>
      </c>
      <c r="I23" s="68" t="n">
        <v>4</v>
      </c>
    </row>
    <row r="24" customFormat="false" ht="15" hidden="false" customHeight="false" outlineLevel="0" collapsed="false">
      <c r="A24" s="68" t="s">
        <v>21</v>
      </c>
      <c r="B24" s="68" t="s">
        <v>90</v>
      </c>
      <c r="C24" s="68" t="n">
        <f aca="false">INDEX(Frequencies!$C$2:$C$24,MATCH(B24,Frequencies!$A$2:$A$24,0))</f>
        <v>18</v>
      </c>
      <c r="H24" s="68" t="s">
        <v>1103</v>
      </c>
      <c r="I24" s="68" t="n">
        <v>5</v>
      </c>
    </row>
    <row r="25" customFormat="false" ht="15" hidden="false" customHeight="false" outlineLevel="0" collapsed="false">
      <c r="H25" s="68" t="s">
        <v>1106</v>
      </c>
      <c r="I25" s="68" t="n">
        <v>3</v>
      </c>
    </row>
    <row r="26" customFormat="false" ht="15" hidden="false" customHeight="false" outlineLevel="0" collapsed="false">
      <c r="A26" s="69" t="s">
        <v>1161</v>
      </c>
      <c r="H26" s="68" t="s">
        <v>1109</v>
      </c>
      <c r="I26" s="68"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2026-10-02T00:49:58Z</dcterms:created>
  <dc:creator>openpyxl</dc:creator>
  <dc:description/>
  <dc:language>en-US</dc:language>
  <cp:lastModifiedBy/>
  <dcterms:modified xsi:type="dcterms:W3CDTF">2026-10-02T00:50:03Z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